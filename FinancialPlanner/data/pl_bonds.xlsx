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z\programowanie\Optymalizacja_portfela\FinancialPlanner\data\"/>
    </mc:Choice>
  </mc:AlternateContent>
  <xr:revisionPtr revIDLastSave="0" documentId="13_ncr:1_{0B1A1F63-8529-478E-80F8-C15621A050B8}" xr6:coauthVersionLast="47" xr6:coauthVersionMax="47" xr10:uidLastSave="{00000000-0000-0000-0000-000000000000}"/>
  <bookViews>
    <workbookView xWindow="-108" yWindow="-108" windowWidth="23256" windowHeight="12456" xr2:uid="{A3E1C81F-F853-4127-875D-E6C7140E724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3" i="1"/>
  <c r="K3" i="1" s="1"/>
  <c r="K4" i="1" s="1"/>
  <c r="K5" i="1" s="1"/>
  <c r="K6" i="1" s="1"/>
  <c r="I236" i="1" a="1"/>
  <c r="I236" i="1" s="1"/>
  <c r="H7" i="1" s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3" i="1"/>
  <c r="I3" i="1" s="1"/>
  <c r="I4" i="1" s="1"/>
  <c r="I5" i="1" s="1"/>
  <c r="I6" i="1" s="1"/>
  <c r="K7" i="1" l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3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F3" i="1" s="1"/>
  <c r="F4" i="1" s="1"/>
  <c r="F5" i="1" s="1"/>
  <c r="F6" i="1" s="1"/>
  <c r="F7" i="1" l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<sst xmlns="http://schemas.openxmlformats.org/spreadsheetml/2006/main" count="14" uniqueCount="13">
  <si>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>Data</t>
  </si>
  <si>
    <t>Yeld-10Y</t>
  </si>
  <si>
    <t>10y-bonds-returns</t>
  </si>
  <si>
    <t>10y-index</t>
  </si>
  <si>
    <t>TBSP-returns</t>
  </si>
  <si>
    <t>5</t>
  </si>
  <si>
    <t>WIBOR1Y</t>
  </si>
  <si>
    <t>WeightedReturns</t>
  </si>
  <si>
    <t>WeightedIndex</t>
  </si>
  <si>
    <t>TBSP</t>
  </si>
  <si>
    <t>Weight</t>
  </si>
  <si>
    <t>TBSP_regr</t>
  </si>
  <si>
    <t>TBSP_regr_index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</si>
</sst>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2" fontId="0" fillId="2" borderId="0" xfId="0" applyNumberFormat="1" applyFill="1" applyAlignment="1">
      <alignment horizontal="center"/>
    </xf>
    <xf numFmtId="43" fontId="0" fillId="0" borderId="0" xfId="1" applyFont="1"/>
    <xf numFmtId="9" fontId="0" fillId="0" borderId="0" xfId="0" applyNumberFormat="1"/>
    <xf numFmtId="0" fontId="0" fillId="0" borderId="1" xfId="0" applyBorder="1"/>
    <xf numFmtId="0" fontId="0" fillId="3" borderId="1" xfId="0" applyFill="1" applyBorder="1"/>
    <xf numFmtId="10" fontId="0" fillId="0" borderId="0" xfId="0" applyNumberFormat="1"/>
    <xf numFmtId="2" fontId="0" fillId="0" borderId="0" xfId="0" applyNumberFormat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TBSP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Arkusz1!$A$2:$A$230</c:f>
              <c:numCache>
                <c:formatCode>m/d/yyyy</c:formatCode>
                <c:ptCount val="229"/>
                <c:pt idx="0">
                  <c:v>39082</c:v>
                </c:pt>
                <c:pt idx="1">
                  <c:v>39113</c:v>
                </c:pt>
                <c:pt idx="2">
                  <c:v>39141</c:v>
                </c:pt>
                <c:pt idx="3">
                  <c:v>39172</c:v>
                </c:pt>
                <c:pt idx="4">
                  <c:v>39202</c:v>
                </c:pt>
                <c:pt idx="5">
                  <c:v>39233</c:v>
                </c:pt>
                <c:pt idx="6">
                  <c:v>39263</c:v>
                </c:pt>
                <c:pt idx="7">
                  <c:v>39294</c:v>
                </c:pt>
                <c:pt idx="8">
                  <c:v>39325</c:v>
                </c:pt>
                <c:pt idx="9">
                  <c:v>39355</c:v>
                </c:pt>
                <c:pt idx="10">
                  <c:v>39386</c:v>
                </c:pt>
                <c:pt idx="11">
                  <c:v>39416</c:v>
                </c:pt>
                <c:pt idx="12">
                  <c:v>39447</c:v>
                </c:pt>
                <c:pt idx="13">
                  <c:v>39478</c:v>
                </c:pt>
                <c:pt idx="14">
                  <c:v>39507</c:v>
                </c:pt>
                <c:pt idx="15">
                  <c:v>39538</c:v>
                </c:pt>
                <c:pt idx="16">
                  <c:v>39568</c:v>
                </c:pt>
                <c:pt idx="17">
                  <c:v>39599</c:v>
                </c:pt>
                <c:pt idx="18">
                  <c:v>39629</c:v>
                </c:pt>
                <c:pt idx="19">
                  <c:v>39660</c:v>
                </c:pt>
                <c:pt idx="20">
                  <c:v>39691</c:v>
                </c:pt>
                <c:pt idx="21">
                  <c:v>39721</c:v>
                </c:pt>
                <c:pt idx="22">
                  <c:v>39752</c:v>
                </c:pt>
                <c:pt idx="23">
                  <c:v>39782</c:v>
                </c:pt>
                <c:pt idx="24">
                  <c:v>39813</c:v>
                </c:pt>
                <c:pt idx="25">
                  <c:v>39844</c:v>
                </c:pt>
                <c:pt idx="26">
                  <c:v>39872</c:v>
                </c:pt>
                <c:pt idx="27">
                  <c:v>39903</c:v>
                </c:pt>
                <c:pt idx="28">
                  <c:v>39933</c:v>
                </c:pt>
                <c:pt idx="29">
                  <c:v>39964</c:v>
                </c:pt>
                <c:pt idx="30">
                  <c:v>39994</c:v>
                </c:pt>
                <c:pt idx="31">
                  <c:v>40025</c:v>
                </c:pt>
                <c:pt idx="32">
                  <c:v>40056</c:v>
                </c:pt>
                <c:pt idx="33">
                  <c:v>40086</c:v>
                </c:pt>
                <c:pt idx="34">
                  <c:v>40117</c:v>
                </c:pt>
                <c:pt idx="35">
                  <c:v>40147</c:v>
                </c:pt>
                <c:pt idx="36">
                  <c:v>40178</c:v>
                </c:pt>
                <c:pt idx="37">
                  <c:v>40209</c:v>
                </c:pt>
                <c:pt idx="38">
                  <c:v>40237</c:v>
                </c:pt>
                <c:pt idx="39">
                  <c:v>40268</c:v>
                </c:pt>
                <c:pt idx="40">
                  <c:v>40298</c:v>
                </c:pt>
                <c:pt idx="41">
                  <c:v>40329</c:v>
                </c:pt>
                <c:pt idx="42">
                  <c:v>40359</c:v>
                </c:pt>
                <c:pt idx="43">
                  <c:v>40390</c:v>
                </c:pt>
                <c:pt idx="44">
                  <c:v>40421</c:v>
                </c:pt>
                <c:pt idx="45">
                  <c:v>40451</c:v>
                </c:pt>
                <c:pt idx="46">
                  <c:v>40482</c:v>
                </c:pt>
                <c:pt idx="47">
                  <c:v>40512</c:v>
                </c:pt>
                <c:pt idx="48">
                  <c:v>40543</c:v>
                </c:pt>
                <c:pt idx="49">
                  <c:v>40574</c:v>
                </c:pt>
                <c:pt idx="50">
                  <c:v>40602</c:v>
                </c:pt>
                <c:pt idx="51">
                  <c:v>40633</c:v>
                </c:pt>
                <c:pt idx="52">
                  <c:v>40663</c:v>
                </c:pt>
                <c:pt idx="53">
                  <c:v>40694</c:v>
                </c:pt>
                <c:pt idx="54">
                  <c:v>40724</c:v>
                </c:pt>
                <c:pt idx="55">
                  <c:v>40755</c:v>
                </c:pt>
                <c:pt idx="56">
                  <c:v>40786</c:v>
                </c:pt>
                <c:pt idx="57">
                  <c:v>40816</c:v>
                </c:pt>
                <c:pt idx="58">
                  <c:v>40847</c:v>
                </c:pt>
                <c:pt idx="59">
                  <c:v>40877</c:v>
                </c:pt>
                <c:pt idx="60">
                  <c:v>40908</c:v>
                </c:pt>
                <c:pt idx="61">
                  <c:v>40939</c:v>
                </c:pt>
                <c:pt idx="62">
                  <c:v>40968</c:v>
                </c:pt>
                <c:pt idx="63">
                  <c:v>40999</c:v>
                </c:pt>
                <c:pt idx="64">
                  <c:v>41029</c:v>
                </c:pt>
                <c:pt idx="65">
                  <c:v>41060</c:v>
                </c:pt>
                <c:pt idx="66">
                  <c:v>41090</c:v>
                </c:pt>
                <c:pt idx="67">
                  <c:v>41121</c:v>
                </c:pt>
                <c:pt idx="68">
                  <c:v>41152</c:v>
                </c:pt>
                <c:pt idx="69">
                  <c:v>41182</c:v>
                </c:pt>
                <c:pt idx="70">
                  <c:v>41213</c:v>
                </c:pt>
                <c:pt idx="71">
                  <c:v>41243</c:v>
                </c:pt>
                <c:pt idx="72">
                  <c:v>41274</c:v>
                </c:pt>
                <c:pt idx="73">
                  <c:v>41305</c:v>
                </c:pt>
                <c:pt idx="74">
                  <c:v>41333</c:v>
                </c:pt>
                <c:pt idx="75">
                  <c:v>41364</c:v>
                </c:pt>
                <c:pt idx="76">
                  <c:v>41394</c:v>
                </c:pt>
                <c:pt idx="77">
                  <c:v>41425</c:v>
                </c:pt>
                <c:pt idx="78">
                  <c:v>41455</c:v>
                </c:pt>
                <c:pt idx="79">
                  <c:v>41486</c:v>
                </c:pt>
                <c:pt idx="80">
                  <c:v>41517</c:v>
                </c:pt>
                <c:pt idx="81">
                  <c:v>41547</c:v>
                </c:pt>
                <c:pt idx="82">
                  <c:v>41578</c:v>
                </c:pt>
                <c:pt idx="83">
                  <c:v>41608</c:v>
                </c:pt>
                <c:pt idx="84">
                  <c:v>41639</c:v>
                </c:pt>
                <c:pt idx="85">
                  <c:v>41670</c:v>
                </c:pt>
                <c:pt idx="86">
                  <c:v>41698</c:v>
                </c:pt>
                <c:pt idx="87">
                  <c:v>41729</c:v>
                </c:pt>
                <c:pt idx="88">
                  <c:v>41759</c:v>
                </c:pt>
                <c:pt idx="89">
                  <c:v>41790</c:v>
                </c:pt>
                <c:pt idx="90">
                  <c:v>41820</c:v>
                </c:pt>
                <c:pt idx="91">
                  <c:v>41851</c:v>
                </c:pt>
                <c:pt idx="92">
                  <c:v>41882</c:v>
                </c:pt>
                <c:pt idx="93">
                  <c:v>41912</c:v>
                </c:pt>
                <c:pt idx="94">
                  <c:v>41943</c:v>
                </c:pt>
                <c:pt idx="95">
                  <c:v>41973</c:v>
                </c:pt>
                <c:pt idx="96">
                  <c:v>42004</c:v>
                </c:pt>
                <c:pt idx="97">
                  <c:v>42035</c:v>
                </c:pt>
                <c:pt idx="98">
                  <c:v>42063</c:v>
                </c:pt>
                <c:pt idx="99">
                  <c:v>42094</c:v>
                </c:pt>
                <c:pt idx="100">
                  <c:v>42124</c:v>
                </c:pt>
                <c:pt idx="101">
                  <c:v>42155</c:v>
                </c:pt>
                <c:pt idx="102">
                  <c:v>42185</c:v>
                </c:pt>
                <c:pt idx="103">
                  <c:v>42216</c:v>
                </c:pt>
                <c:pt idx="104">
                  <c:v>42247</c:v>
                </c:pt>
                <c:pt idx="105">
                  <c:v>42277</c:v>
                </c:pt>
                <c:pt idx="106">
                  <c:v>42308</c:v>
                </c:pt>
                <c:pt idx="107">
                  <c:v>42338</c:v>
                </c:pt>
                <c:pt idx="108">
                  <c:v>42369</c:v>
                </c:pt>
                <c:pt idx="109">
                  <c:v>42400</c:v>
                </c:pt>
                <c:pt idx="110">
                  <c:v>42429</c:v>
                </c:pt>
                <c:pt idx="111">
                  <c:v>42460</c:v>
                </c:pt>
                <c:pt idx="112">
                  <c:v>42490</c:v>
                </c:pt>
                <c:pt idx="113">
                  <c:v>42521</c:v>
                </c:pt>
                <c:pt idx="114">
                  <c:v>42551</c:v>
                </c:pt>
                <c:pt idx="115">
                  <c:v>42582</c:v>
                </c:pt>
                <c:pt idx="116">
                  <c:v>42613</c:v>
                </c:pt>
                <c:pt idx="117">
                  <c:v>42643</c:v>
                </c:pt>
                <c:pt idx="118">
                  <c:v>42674</c:v>
                </c:pt>
                <c:pt idx="119">
                  <c:v>42704</c:v>
                </c:pt>
                <c:pt idx="120">
                  <c:v>42735</c:v>
                </c:pt>
                <c:pt idx="121">
                  <c:v>42766</c:v>
                </c:pt>
                <c:pt idx="122">
                  <c:v>42794</c:v>
                </c:pt>
                <c:pt idx="123">
                  <c:v>42825</c:v>
                </c:pt>
                <c:pt idx="124">
                  <c:v>42855</c:v>
                </c:pt>
                <c:pt idx="125">
                  <c:v>42886</c:v>
                </c:pt>
                <c:pt idx="126">
                  <c:v>42916</c:v>
                </c:pt>
                <c:pt idx="127">
                  <c:v>42947</c:v>
                </c:pt>
                <c:pt idx="128">
                  <c:v>42978</c:v>
                </c:pt>
                <c:pt idx="129">
                  <c:v>43008</c:v>
                </c:pt>
                <c:pt idx="130">
                  <c:v>43039</c:v>
                </c:pt>
                <c:pt idx="131">
                  <c:v>43069</c:v>
                </c:pt>
                <c:pt idx="132">
                  <c:v>43100</c:v>
                </c:pt>
                <c:pt idx="133">
                  <c:v>43131</c:v>
                </c:pt>
                <c:pt idx="134">
                  <c:v>43159</c:v>
                </c:pt>
                <c:pt idx="135">
                  <c:v>43190</c:v>
                </c:pt>
                <c:pt idx="136">
                  <c:v>43220</c:v>
                </c:pt>
                <c:pt idx="137">
                  <c:v>43251</c:v>
                </c:pt>
                <c:pt idx="138">
                  <c:v>43281</c:v>
                </c:pt>
                <c:pt idx="139">
                  <c:v>43312</c:v>
                </c:pt>
                <c:pt idx="140">
                  <c:v>43343</c:v>
                </c:pt>
                <c:pt idx="141">
                  <c:v>43373</c:v>
                </c:pt>
                <c:pt idx="142">
                  <c:v>43404</c:v>
                </c:pt>
                <c:pt idx="143">
                  <c:v>43434</c:v>
                </c:pt>
                <c:pt idx="144">
                  <c:v>43465</c:v>
                </c:pt>
                <c:pt idx="145">
                  <c:v>43496</c:v>
                </c:pt>
                <c:pt idx="146">
                  <c:v>43524</c:v>
                </c:pt>
                <c:pt idx="147">
                  <c:v>43555</c:v>
                </c:pt>
                <c:pt idx="148">
                  <c:v>43585</c:v>
                </c:pt>
                <c:pt idx="149">
                  <c:v>43616</c:v>
                </c:pt>
                <c:pt idx="150">
                  <c:v>43646</c:v>
                </c:pt>
                <c:pt idx="151">
                  <c:v>43677</c:v>
                </c:pt>
                <c:pt idx="152">
                  <c:v>43708</c:v>
                </c:pt>
                <c:pt idx="153">
                  <c:v>43738</c:v>
                </c:pt>
                <c:pt idx="154">
                  <c:v>43769</c:v>
                </c:pt>
                <c:pt idx="155">
                  <c:v>43799</c:v>
                </c:pt>
                <c:pt idx="156">
                  <c:v>43830</c:v>
                </c:pt>
                <c:pt idx="157">
                  <c:v>43861</c:v>
                </c:pt>
                <c:pt idx="158">
                  <c:v>43890</c:v>
                </c:pt>
                <c:pt idx="159">
                  <c:v>43921</c:v>
                </c:pt>
                <c:pt idx="160">
                  <c:v>43951</c:v>
                </c:pt>
                <c:pt idx="161">
                  <c:v>43982</c:v>
                </c:pt>
                <c:pt idx="162">
                  <c:v>44012</c:v>
                </c:pt>
                <c:pt idx="163">
                  <c:v>44043</c:v>
                </c:pt>
                <c:pt idx="164">
                  <c:v>44074</c:v>
                </c:pt>
                <c:pt idx="165">
                  <c:v>44104</c:v>
                </c:pt>
                <c:pt idx="166">
                  <c:v>44135</c:v>
                </c:pt>
                <c:pt idx="167">
                  <c:v>44165</c:v>
                </c:pt>
                <c:pt idx="168">
                  <c:v>44196</c:v>
                </c:pt>
                <c:pt idx="169">
                  <c:v>44227</c:v>
                </c:pt>
                <c:pt idx="170">
                  <c:v>44255</c:v>
                </c:pt>
                <c:pt idx="171">
                  <c:v>44286</c:v>
                </c:pt>
                <c:pt idx="172">
                  <c:v>44316</c:v>
                </c:pt>
                <c:pt idx="173">
                  <c:v>44347</c:v>
                </c:pt>
                <c:pt idx="174">
                  <c:v>44377</c:v>
                </c:pt>
                <c:pt idx="175">
                  <c:v>44408</c:v>
                </c:pt>
                <c:pt idx="176">
                  <c:v>44439</c:v>
                </c:pt>
                <c:pt idx="177">
                  <c:v>44469</c:v>
                </c:pt>
                <c:pt idx="178">
                  <c:v>44500</c:v>
                </c:pt>
                <c:pt idx="179">
                  <c:v>44530</c:v>
                </c:pt>
                <c:pt idx="180">
                  <c:v>44561</c:v>
                </c:pt>
                <c:pt idx="181">
                  <c:v>44592</c:v>
                </c:pt>
                <c:pt idx="182">
                  <c:v>44620</c:v>
                </c:pt>
                <c:pt idx="183">
                  <c:v>44651</c:v>
                </c:pt>
                <c:pt idx="184">
                  <c:v>44681</c:v>
                </c:pt>
                <c:pt idx="185">
                  <c:v>44712</c:v>
                </c:pt>
                <c:pt idx="186">
                  <c:v>44742</c:v>
                </c:pt>
                <c:pt idx="187">
                  <c:v>44773</c:v>
                </c:pt>
                <c:pt idx="188">
                  <c:v>44804</c:v>
                </c:pt>
                <c:pt idx="189">
                  <c:v>44834</c:v>
                </c:pt>
                <c:pt idx="190">
                  <c:v>44865</c:v>
                </c:pt>
                <c:pt idx="191">
                  <c:v>44895</c:v>
                </c:pt>
                <c:pt idx="192">
                  <c:v>44926</c:v>
                </c:pt>
                <c:pt idx="193">
                  <c:v>44957</c:v>
                </c:pt>
                <c:pt idx="194">
                  <c:v>44985</c:v>
                </c:pt>
                <c:pt idx="195">
                  <c:v>45016</c:v>
                </c:pt>
                <c:pt idx="196">
                  <c:v>45046</c:v>
                </c:pt>
                <c:pt idx="197">
                  <c:v>45077</c:v>
                </c:pt>
                <c:pt idx="198">
                  <c:v>45107</c:v>
                </c:pt>
                <c:pt idx="199">
                  <c:v>45138</c:v>
                </c:pt>
                <c:pt idx="200">
                  <c:v>45169</c:v>
                </c:pt>
                <c:pt idx="201">
                  <c:v>45199</c:v>
                </c:pt>
                <c:pt idx="202">
                  <c:v>45230</c:v>
                </c:pt>
                <c:pt idx="203">
                  <c:v>45260</c:v>
                </c:pt>
                <c:pt idx="204">
                  <c:v>45291</c:v>
                </c:pt>
                <c:pt idx="205">
                  <c:v>45322</c:v>
                </c:pt>
                <c:pt idx="206">
                  <c:v>45351</c:v>
                </c:pt>
                <c:pt idx="207">
                  <c:v>45382</c:v>
                </c:pt>
                <c:pt idx="208">
                  <c:v>45412</c:v>
                </c:pt>
                <c:pt idx="209">
                  <c:v>45443</c:v>
                </c:pt>
                <c:pt idx="210">
                  <c:v>45473</c:v>
                </c:pt>
                <c:pt idx="211">
                  <c:v>45504</c:v>
                </c:pt>
                <c:pt idx="212">
                  <c:v>45535</c:v>
                </c:pt>
                <c:pt idx="213">
                  <c:v>45565</c:v>
                </c:pt>
                <c:pt idx="214">
                  <c:v>45596</c:v>
                </c:pt>
                <c:pt idx="215">
                  <c:v>45626</c:v>
                </c:pt>
                <c:pt idx="216">
                  <c:v>45657</c:v>
                </c:pt>
                <c:pt idx="217">
                  <c:v>45688</c:v>
                </c:pt>
                <c:pt idx="218">
                  <c:v>45716</c:v>
                </c:pt>
                <c:pt idx="219">
                  <c:v>45747</c:v>
                </c:pt>
                <c:pt idx="220">
                  <c:v>45777</c:v>
                </c:pt>
                <c:pt idx="221">
                  <c:v>45808</c:v>
                </c:pt>
                <c:pt idx="222">
                  <c:v>45838</c:v>
                </c:pt>
                <c:pt idx="223">
                  <c:v>45869</c:v>
                </c:pt>
                <c:pt idx="224">
                  <c:v>45900</c:v>
                </c:pt>
                <c:pt idx="225">
                  <c:v>45930</c:v>
                </c:pt>
                <c:pt idx="226">
                  <c:v>45961</c:v>
                </c:pt>
                <c:pt idx="227">
                  <c:v>45991</c:v>
                </c:pt>
                <c:pt idx="228">
                  <c:v>46022</c:v>
                </c:pt>
              </c:numCache>
            </c:numRef>
          </c:cat>
          <c:val>
            <c:numRef>
              <c:f>Arkusz1!$B$2:$B$230</c:f>
              <c:numCache>
                <c:formatCode>General</c:formatCode>
                <c:ptCount val="229"/>
                <c:pt idx="0">
                  <c:v>1000</c:v>
                </c:pt>
                <c:pt idx="1">
                  <c:v>1006.26</c:v>
                </c:pt>
                <c:pt idx="2">
                  <c:v>1006.41</c:v>
                </c:pt>
                <c:pt idx="3">
                  <c:v>1011.55</c:v>
                </c:pt>
                <c:pt idx="4">
                  <c:v>1012.25</c:v>
                </c:pt>
                <c:pt idx="5">
                  <c:v>1015.92</c:v>
                </c:pt>
                <c:pt idx="6">
                  <c:v>1007.31</c:v>
                </c:pt>
                <c:pt idx="7">
                  <c:v>1012.06</c:v>
                </c:pt>
                <c:pt idx="8">
                  <c:v>1011.1</c:v>
                </c:pt>
                <c:pt idx="9">
                  <c:v>1018.12</c:v>
                </c:pt>
                <c:pt idx="10">
                  <c:v>1024.76</c:v>
                </c:pt>
                <c:pt idx="11">
                  <c:v>1015.5</c:v>
                </c:pt>
                <c:pt idx="12">
                  <c:v>1016.53</c:v>
                </c:pt>
                <c:pt idx="13">
                  <c:v>1033.3900000000001</c:v>
                </c:pt>
                <c:pt idx="14">
                  <c:v>1023.61</c:v>
                </c:pt>
                <c:pt idx="15">
                  <c:v>1028.44</c:v>
                </c:pt>
                <c:pt idx="16">
                  <c:v>1035.2</c:v>
                </c:pt>
                <c:pt idx="17">
                  <c:v>1028.99</c:v>
                </c:pt>
                <c:pt idx="18">
                  <c:v>1020.31</c:v>
                </c:pt>
                <c:pt idx="19">
                  <c:v>1040.1500000000001</c:v>
                </c:pt>
                <c:pt idx="20">
                  <c:v>1051.07</c:v>
                </c:pt>
                <c:pt idx="21">
                  <c:v>1064.43</c:v>
                </c:pt>
                <c:pt idx="22">
                  <c:v>1040.92</c:v>
                </c:pt>
                <c:pt idx="23">
                  <c:v>1081</c:v>
                </c:pt>
                <c:pt idx="24">
                  <c:v>1108.83</c:v>
                </c:pt>
                <c:pt idx="25">
                  <c:v>1114.97</c:v>
                </c:pt>
                <c:pt idx="26">
                  <c:v>1090.25</c:v>
                </c:pt>
                <c:pt idx="27">
                  <c:v>1095.92</c:v>
                </c:pt>
                <c:pt idx="28">
                  <c:v>1108.3399999999999</c:v>
                </c:pt>
                <c:pt idx="29">
                  <c:v>1110.06</c:v>
                </c:pt>
                <c:pt idx="30">
                  <c:v>1118.02</c:v>
                </c:pt>
                <c:pt idx="31">
                  <c:v>1136.4100000000001</c:v>
                </c:pt>
                <c:pt idx="32">
                  <c:v>1136.1099999999999</c:v>
                </c:pt>
                <c:pt idx="33">
                  <c:v>1137.81</c:v>
                </c:pt>
                <c:pt idx="34">
                  <c:v>1147.3</c:v>
                </c:pt>
                <c:pt idx="35">
                  <c:v>1150.76</c:v>
                </c:pt>
                <c:pt idx="36">
                  <c:v>1153.5</c:v>
                </c:pt>
                <c:pt idx="37">
                  <c:v>1169.51</c:v>
                </c:pt>
                <c:pt idx="38">
                  <c:v>1178.06</c:v>
                </c:pt>
                <c:pt idx="39">
                  <c:v>1197.52</c:v>
                </c:pt>
                <c:pt idx="40">
                  <c:v>1201.29</c:v>
                </c:pt>
                <c:pt idx="41">
                  <c:v>1199.74</c:v>
                </c:pt>
                <c:pt idx="42">
                  <c:v>1198.1400000000001</c:v>
                </c:pt>
                <c:pt idx="43">
                  <c:v>1207</c:v>
                </c:pt>
                <c:pt idx="44">
                  <c:v>1221.3699999999999</c:v>
                </c:pt>
                <c:pt idx="45">
                  <c:v>1228.01</c:v>
                </c:pt>
                <c:pt idx="46">
                  <c:v>1227.9100000000001</c:v>
                </c:pt>
                <c:pt idx="47">
                  <c:v>1221.56</c:v>
                </c:pt>
                <c:pt idx="48">
                  <c:v>1228.6600000000001</c:v>
                </c:pt>
                <c:pt idx="49">
                  <c:v>1220.08</c:v>
                </c:pt>
                <c:pt idx="50">
                  <c:v>1226.94</c:v>
                </c:pt>
                <c:pt idx="51">
                  <c:v>1232.93</c:v>
                </c:pt>
                <c:pt idx="52">
                  <c:v>1242.23</c:v>
                </c:pt>
                <c:pt idx="53">
                  <c:v>1251.71</c:v>
                </c:pt>
                <c:pt idx="54">
                  <c:v>1267.53</c:v>
                </c:pt>
                <c:pt idx="55">
                  <c:v>1273.3900000000001</c:v>
                </c:pt>
                <c:pt idx="56">
                  <c:v>1288.51</c:v>
                </c:pt>
                <c:pt idx="57">
                  <c:v>1283.9000000000001</c:v>
                </c:pt>
                <c:pt idx="58">
                  <c:v>1297.98</c:v>
                </c:pt>
                <c:pt idx="59">
                  <c:v>1291.96</c:v>
                </c:pt>
                <c:pt idx="60">
                  <c:v>1299.9100000000001</c:v>
                </c:pt>
                <c:pt idx="61">
                  <c:v>1318.52</c:v>
                </c:pt>
                <c:pt idx="62">
                  <c:v>1327.63</c:v>
                </c:pt>
                <c:pt idx="63">
                  <c:v>1332.59</c:v>
                </c:pt>
                <c:pt idx="64">
                  <c:v>1340.41</c:v>
                </c:pt>
                <c:pt idx="65">
                  <c:v>1342.2</c:v>
                </c:pt>
                <c:pt idx="66">
                  <c:v>1361.09</c:v>
                </c:pt>
                <c:pt idx="67">
                  <c:v>1382.34</c:v>
                </c:pt>
                <c:pt idx="68">
                  <c:v>1390.22</c:v>
                </c:pt>
                <c:pt idx="69">
                  <c:v>1401.74</c:v>
                </c:pt>
                <c:pt idx="70">
                  <c:v>1415.82</c:v>
                </c:pt>
                <c:pt idx="71">
                  <c:v>1452.17</c:v>
                </c:pt>
                <c:pt idx="72">
                  <c:v>1474.35</c:v>
                </c:pt>
                <c:pt idx="73">
                  <c:v>1466.62</c:v>
                </c:pt>
                <c:pt idx="74">
                  <c:v>1461.4</c:v>
                </c:pt>
                <c:pt idx="75">
                  <c:v>1475.08</c:v>
                </c:pt>
                <c:pt idx="76">
                  <c:v>1519.06</c:v>
                </c:pt>
                <c:pt idx="77">
                  <c:v>1504.57</c:v>
                </c:pt>
                <c:pt idx="78">
                  <c:v>1469.95</c:v>
                </c:pt>
                <c:pt idx="79">
                  <c:v>1490.43</c:v>
                </c:pt>
                <c:pt idx="80">
                  <c:v>1473.91</c:v>
                </c:pt>
                <c:pt idx="81">
                  <c:v>1477.42</c:v>
                </c:pt>
                <c:pt idx="82">
                  <c:v>1502.11</c:v>
                </c:pt>
                <c:pt idx="83">
                  <c:v>1491.73</c:v>
                </c:pt>
                <c:pt idx="84">
                  <c:v>1503.62</c:v>
                </c:pt>
                <c:pt idx="85">
                  <c:v>1486.15</c:v>
                </c:pt>
                <c:pt idx="86">
                  <c:v>1508.39</c:v>
                </c:pt>
                <c:pt idx="87">
                  <c:v>1519.4</c:v>
                </c:pt>
                <c:pt idx="88">
                  <c:v>1533.77</c:v>
                </c:pt>
                <c:pt idx="89">
                  <c:v>1553.96</c:v>
                </c:pt>
                <c:pt idx="90">
                  <c:v>1572.8</c:v>
                </c:pt>
                <c:pt idx="91">
                  <c:v>1578.1</c:v>
                </c:pt>
                <c:pt idx="92">
                  <c:v>1599.98</c:v>
                </c:pt>
                <c:pt idx="93">
                  <c:v>1613.72</c:v>
                </c:pt>
                <c:pt idx="94">
                  <c:v>1643.73</c:v>
                </c:pt>
                <c:pt idx="95">
                  <c:v>1651.45</c:v>
                </c:pt>
                <c:pt idx="96">
                  <c:v>1645.73</c:v>
                </c:pt>
                <c:pt idx="97">
                  <c:v>1679.35</c:v>
                </c:pt>
                <c:pt idx="98">
                  <c:v>1670.02</c:v>
                </c:pt>
                <c:pt idx="99">
                  <c:v>1668.12</c:v>
                </c:pt>
                <c:pt idx="100">
                  <c:v>1654.85</c:v>
                </c:pt>
                <c:pt idx="101">
                  <c:v>1642.13</c:v>
                </c:pt>
                <c:pt idx="102">
                  <c:v>1627.12</c:v>
                </c:pt>
                <c:pt idx="103">
                  <c:v>1650.22</c:v>
                </c:pt>
                <c:pt idx="104">
                  <c:v>1652.59</c:v>
                </c:pt>
                <c:pt idx="105">
                  <c:v>1661.3</c:v>
                </c:pt>
                <c:pt idx="106">
                  <c:v>1679.69</c:v>
                </c:pt>
                <c:pt idx="107">
                  <c:v>1681.98</c:v>
                </c:pt>
                <c:pt idx="108">
                  <c:v>1673.34</c:v>
                </c:pt>
                <c:pt idx="109">
                  <c:v>1677.37</c:v>
                </c:pt>
                <c:pt idx="110">
                  <c:v>1691.2</c:v>
                </c:pt>
                <c:pt idx="111">
                  <c:v>1698.4</c:v>
                </c:pt>
                <c:pt idx="112">
                  <c:v>1690.73</c:v>
                </c:pt>
                <c:pt idx="113">
                  <c:v>1688.95</c:v>
                </c:pt>
                <c:pt idx="114">
                  <c:v>1702.65</c:v>
                </c:pt>
                <c:pt idx="115">
                  <c:v>1704.3</c:v>
                </c:pt>
                <c:pt idx="116">
                  <c:v>1714.32</c:v>
                </c:pt>
                <c:pt idx="117">
                  <c:v>1707.51</c:v>
                </c:pt>
                <c:pt idx="118">
                  <c:v>1699.87</c:v>
                </c:pt>
                <c:pt idx="119">
                  <c:v>1674.77</c:v>
                </c:pt>
                <c:pt idx="120">
                  <c:v>1677.54</c:v>
                </c:pt>
                <c:pt idx="121">
                  <c:v>1675.33</c:v>
                </c:pt>
                <c:pt idx="122">
                  <c:v>1681.85</c:v>
                </c:pt>
                <c:pt idx="123">
                  <c:v>1704.2</c:v>
                </c:pt>
                <c:pt idx="124">
                  <c:v>1709.72</c:v>
                </c:pt>
                <c:pt idx="125">
                  <c:v>1726.53</c:v>
                </c:pt>
                <c:pt idx="126">
                  <c:v>1728.79</c:v>
                </c:pt>
                <c:pt idx="127">
                  <c:v>1730.99</c:v>
                </c:pt>
                <c:pt idx="128">
                  <c:v>1740.33</c:v>
                </c:pt>
                <c:pt idx="129">
                  <c:v>1739.29</c:v>
                </c:pt>
                <c:pt idx="130">
                  <c:v>1742.87</c:v>
                </c:pt>
                <c:pt idx="131">
                  <c:v>1751.24</c:v>
                </c:pt>
                <c:pt idx="132">
                  <c:v>1757.58</c:v>
                </c:pt>
                <c:pt idx="133">
                  <c:v>1757.55</c:v>
                </c:pt>
                <c:pt idx="134">
                  <c:v>1769.15</c:v>
                </c:pt>
                <c:pt idx="135">
                  <c:v>1786.13</c:v>
                </c:pt>
                <c:pt idx="136">
                  <c:v>1791.45</c:v>
                </c:pt>
                <c:pt idx="137">
                  <c:v>1786.39</c:v>
                </c:pt>
                <c:pt idx="138">
                  <c:v>1790.6</c:v>
                </c:pt>
                <c:pt idx="139">
                  <c:v>1796.29</c:v>
                </c:pt>
                <c:pt idx="140">
                  <c:v>1800.35</c:v>
                </c:pt>
                <c:pt idx="141">
                  <c:v>1801.97</c:v>
                </c:pt>
                <c:pt idx="142">
                  <c:v>1809.18</c:v>
                </c:pt>
                <c:pt idx="143">
                  <c:v>1821.96</c:v>
                </c:pt>
                <c:pt idx="144">
                  <c:v>1839.64</c:v>
                </c:pt>
                <c:pt idx="145">
                  <c:v>1849.08</c:v>
                </c:pt>
                <c:pt idx="146">
                  <c:v>1839.78</c:v>
                </c:pt>
                <c:pt idx="147">
                  <c:v>1850.39</c:v>
                </c:pt>
                <c:pt idx="148">
                  <c:v>1843.58</c:v>
                </c:pt>
                <c:pt idx="149">
                  <c:v>1865.17</c:v>
                </c:pt>
                <c:pt idx="150">
                  <c:v>1878.94</c:v>
                </c:pt>
                <c:pt idx="151">
                  <c:v>1895.53</c:v>
                </c:pt>
                <c:pt idx="152">
                  <c:v>1915.02</c:v>
                </c:pt>
                <c:pt idx="153">
                  <c:v>1910.01</c:v>
                </c:pt>
                <c:pt idx="154">
                  <c:v>1916.69</c:v>
                </c:pt>
                <c:pt idx="155">
                  <c:v>1916.89</c:v>
                </c:pt>
                <c:pt idx="156">
                  <c:v>1912.18</c:v>
                </c:pt>
                <c:pt idx="157">
                  <c:v>1913.58</c:v>
                </c:pt>
                <c:pt idx="158">
                  <c:v>1938.3</c:v>
                </c:pt>
                <c:pt idx="159">
                  <c:v>1962.84</c:v>
                </c:pt>
                <c:pt idx="160">
                  <c:v>1985.59</c:v>
                </c:pt>
                <c:pt idx="161">
                  <c:v>2015.41</c:v>
                </c:pt>
                <c:pt idx="162">
                  <c:v>2009.2</c:v>
                </c:pt>
                <c:pt idx="163">
                  <c:v>2018.8</c:v>
                </c:pt>
                <c:pt idx="164">
                  <c:v>2011.09</c:v>
                </c:pt>
                <c:pt idx="165">
                  <c:v>2020.93</c:v>
                </c:pt>
                <c:pt idx="166">
                  <c:v>2035.2</c:v>
                </c:pt>
                <c:pt idx="167">
                  <c:v>2034.09</c:v>
                </c:pt>
                <c:pt idx="168">
                  <c:v>2034.99</c:v>
                </c:pt>
                <c:pt idx="169">
                  <c:v>2040.32</c:v>
                </c:pt>
                <c:pt idx="170">
                  <c:v>2016.19</c:v>
                </c:pt>
                <c:pt idx="171">
                  <c:v>2015.88</c:v>
                </c:pt>
                <c:pt idx="172">
                  <c:v>2011.25</c:v>
                </c:pt>
                <c:pt idx="173">
                  <c:v>1996.35</c:v>
                </c:pt>
                <c:pt idx="174">
                  <c:v>2001.97</c:v>
                </c:pt>
                <c:pt idx="175">
                  <c:v>2013.59</c:v>
                </c:pt>
                <c:pt idx="176">
                  <c:v>2008.37</c:v>
                </c:pt>
                <c:pt idx="177">
                  <c:v>1986.22</c:v>
                </c:pt>
                <c:pt idx="178">
                  <c:v>1922.89</c:v>
                </c:pt>
                <c:pt idx="179">
                  <c:v>1878.04</c:v>
                </c:pt>
                <c:pt idx="180">
                  <c:v>1836.74</c:v>
                </c:pt>
                <c:pt idx="181">
                  <c:v>1828.17</c:v>
                </c:pt>
                <c:pt idx="182">
                  <c:v>1822.5</c:v>
                </c:pt>
                <c:pt idx="183">
                  <c:v>1746.17</c:v>
                </c:pt>
                <c:pt idx="184">
                  <c:v>1678.03</c:v>
                </c:pt>
                <c:pt idx="185">
                  <c:v>1682.22</c:v>
                </c:pt>
                <c:pt idx="186">
                  <c:v>1665.87</c:v>
                </c:pt>
                <c:pt idx="187">
                  <c:v>1749.44</c:v>
                </c:pt>
                <c:pt idx="188">
                  <c:v>1720.32</c:v>
                </c:pt>
                <c:pt idx="189">
                  <c:v>1684.12</c:v>
                </c:pt>
                <c:pt idx="190">
                  <c:v>1625.07</c:v>
                </c:pt>
                <c:pt idx="191">
                  <c:v>1737.14</c:v>
                </c:pt>
                <c:pt idx="192">
                  <c:v>1744.32</c:v>
                </c:pt>
                <c:pt idx="193">
                  <c:v>1806.67</c:v>
                </c:pt>
                <c:pt idx="194">
                  <c:v>1787.57</c:v>
                </c:pt>
                <c:pt idx="195">
                  <c:v>1824.34</c:v>
                </c:pt>
                <c:pt idx="196">
                  <c:v>1841.18</c:v>
                </c:pt>
                <c:pt idx="197">
                  <c:v>1844.61</c:v>
                </c:pt>
                <c:pt idx="198">
                  <c:v>1870.02</c:v>
                </c:pt>
                <c:pt idx="199">
                  <c:v>1902.25</c:v>
                </c:pt>
                <c:pt idx="200">
                  <c:v>1905.45</c:v>
                </c:pt>
                <c:pt idx="201">
                  <c:v>1917.31</c:v>
                </c:pt>
                <c:pt idx="202">
                  <c:v>1928.31</c:v>
                </c:pt>
                <c:pt idx="203">
                  <c:v>1934.4</c:v>
                </c:pt>
                <c:pt idx="204">
                  <c:v>1967.56</c:v>
                </c:pt>
                <c:pt idx="205">
                  <c:v>1976.44</c:v>
                </c:pt>
                <c:pt idx="206">
                  <c:v>1971.69</c:v>
                </c:pt>
                <c:pt idx="207">
                  <c:v>1972.24</c:v>
                </c:pt>
                <c:pt idx="208">
                  <c:v>1962.45</c:v>
                </c:pt>
                <c:pt idx="209">
                  <c:v>1973.05</c:v>
                </c:pt>
                <c:pt idx="210" formatCode="_(* #,##0.00_);_(* \(#,##0.00\);_(* &quot;-&quot;??_);_(@_)">
                  <c:v>1987</c:v>
                </c:pt>
                <c:pt idx="211">
                  <c:v>2016.88</c:v>
                </c:pt>
                <c:pt idx="212">
                  <c:v>2029.58</c:v>
                </c:pt>
                <c:pt idx="213">
                  <c:v>2051.83</c:v>
                </c:pt>
                <c:pt idx="214">
                  <c:v>2015.28</c:v>
                </c:pt>
                <c:pt idx="215">
                  <c:v>2051.58</c:v>
                </c:pt>
                <c:pt idx="216">
                  <c:v>2031.94</c:v>
                </c:pt>
                <c:pt idx="217">
                  <c:v>2044.14</c:v>
                </c:pt>
                <c:pt idx="218">
                  <c:v>2060.2199999999998</c:v>
                </c:pt>
                <c:pt idx="219">
                  <c:v>2075.36</c:v>
                </c:pt>
                <c:pt idx="220">
                  <c:v>2134.7399999999998</c:v>
                </c:pt>
                <c:pt idx="221">
                  <c:v>2129.15</c:v>
                </c:pt>
                <c:pt idx="222">
                  <c:v>2132.65</c:v>
                </c:pt>
                <c:pt idx="223">
                  <c:v>2149.63</c:v>
                </c:pt>
                <c:pt idx="224">
                  <c:v>2156.6999999999998</c:v>
                </c:pt>
                <c:pt idx="225">
                  <c:v>2169.87</c:v>
                </c:pt>
                <c:pt idx="226">
                  <c:v>2190.61</c:v>
                </c:pt>
                <c:pt idx="227">
                  <c:v>2215.0300000000002</c:v>
                </c:pt>
                <c:pt idx="228">
                  <c:v>2213.2800000000002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D-4DE4-8774-B2F229F62E24}"/>
            </c:ext>
          </c:extLst>
        </c:ser>
        <c:ser>
          <c:idx val="4"/>
          <c:order val="1"/>
          <c:tx>
            <c:strRef>
              <c:f>Arkusz1!$F$1</c:f>
              <c:strCache>
                <c:ptCount val="1"/>
                <c:pt idx="0">
                  <c:v>10y-index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Arkusz1!$A$2:$A$230</c:f>
              <c:numCache>
                <c:formatCode>m/d/yyyy</c:formatCode>
                <c:ptCount val="229"/>
                <c:pt idx="0">
                  <c:v>39082</c:v>
                </c:pt>
                <c:pt idx="1">
                  <c:v>39113</c:v>
                </c:pt>
                <c:pt idx="2">
                  <c:v>39141</c:v>
                </c:pt>
                <c:pt idx="3">
                  <c:v>39172</c:v>
                </c:pt>
                <c:pt idx="4">
                  <c:v>39202</c:v>
                </c:pt>
                <c:pt idx="5">
                  <c:v>39233</c:v>
                </c:pt>
                <c:pt idx="6">
                  <c:v>39263</c:v>
                </c:pt>
                <c:pt idx="7">
                  <c:v>39294</c:v>
                </c:pt>
                <c:pt idx="8">
                  <c:v>39325</c:v>
                </c:pt>
                <c:pt idx="9">
                  <c:v>39355</c:v>
                </c:pt>
                <c:pt idx="10">
                  <c:v>39386</c:v>
                </c:pt>
                <c:pt idx="11">
                  <c:v>39416</c:v>
                </c:pt>
                <c:pt idx="12">
                  <c:v>39447</c:v>
                </c:pt>
                <c:pt idx="13">
                  <c:v>39478</c:v>
                </c:pt>
                <c:pt idx="14">
                  <c:v>39507</c:v>
                </c:pt>
                <c:pt idx="15">
                  <c:v>39538</c:v>
                </c:pt>
                <c:pt idx="16">
                  <c:v>39568</c:v>
                </c:pt>
                <c:pt idx="17">
                  <c:v>39599</c:v>
                </c:pt>
                <c:pt idx="18">
                  <c:v>39629</c:v>
                </c:pt>
                <c:pt idx="19">
                  <c:v>39660</c:v>
                </c:pt>
                <c:pt idx="20">
                  <c:v>39691</c:v>
                </c:pt>
                <c:pt idx="21">
                  <c:v>39721</c:v>
                </c:pt>
                <c:pt idx="22">
                  <c:v>39752</c:v>
                </c:pt>
                <c:pt idx="23">
                  <c:v>39782</c:v>
                </c:pt>
                <c:pt idx="24">
                  <c:v>39813</c:v>
                </c:pt>
                <c:pt idx="25">
                  <c:v>39844</c:v>
                </c:pt>
                <c:pt idx="26">
                  <c:v>39872</c:v>
                </c:pt>
                <c:pt idx="27">
                  <c:v>39903</c:v>
                </c:pt>
                <c:pt idx="28">
                  <c:v>39933</c:v>
                </c:pt>
                <c:pt idx="29">
                  <c:v>39964</c:v>
                </c:pt>
                <c:pt idx="30">
                  <c:v>39994</c:v>
                </c:pt>
                <c:pt idx="31">
                  <c:v>40025</c:v>
                </c:pt>
                <c:pt idx="32">
                  <c:v>40056</c:v>
                </c:pt>
                <c:pt idx="33">
                  <c:v>40086</c:v>
                </c:pt>
                <c:pt idx="34">
                  <c:v>40117</c:v>
                </c:pt>
                <c:pt idx="35">
                  <c:v>40147</c:v>
                </c:pt>
                <c:pt idx="36">
                  <c:v>40178</c:v>
                </c:pt>
                <c:pt idx="37">
                  <c:v>40209</c:v>
                </c:pt>
                <c:pt idx="38">
                  <c:v>40237</c:v>
                </c:pt>
                <c:pt idx="39">
                  <c:v>40268</c:v>
                </c:pt>
                <c:pt idx="40">
                  <c:v>40298</c:v>
                </c:pt>
                <c:pt idx="41">
                  <c:v>40329</c:v>
                </c:pt>
                <c:pt idx="42">
                  <c:v>40359</c:v>
                </c:pt>
                <c:pt idx="43">
                  <c:v>40390</c:v>
                </c:pt>
                <c:pt idx="44">
                  <c:v>40421</c:v>
                </c:pt>
                <c:pt idx="45">
                  <c:v>40451</c:v>
                </c:pt>
                <c:pt idx="46">
                  <c:v>40482</c:v>
                </c:pt>
                <c:pt idx="47">
                  <c:v>40512</c:v>
                </c:pt>
                <c:pt idx="48">
                  <c:v>40543</c:v>
                </c:pt>
                <c:pt idx="49">
                  <c:v>40574</c:v>
                </c:pt>
                <c:pt idx="50">
                  <c:v>40602</c:v>
                </c:pt>
                <c:pt idx="51">
                  <c:v>40633</c:v>
                </c:pt>
                <c:pt idx="52">
                  <c:v>40663</c:v>
                </c:pt>
                <c:pt idx="53">
                  <c:v>40694</c:v>
                </c:pt>
                <c:pt idx="54">
                  <c:v>40724</c:v>
                </c:pt>
                <c:pt idx="55">
                  <c:v>40755</c:v>
                </c:pt>
                <c:pt idx="56">
                  <c:v>40786</c:v>
                </c:pt>
                <c:pt idx="57">
                  <c:v>40816</c:v>
                </c:pt>
                <c:pt idx="58">
                  <c:v>40847</c:v>
                </c:pt>
                <c:pt idx="59">
                  <c:v>40877</c:v>
                </c:pt>
                <c:pt idx="60">
                  <c:v>40908</c:v>
                </c:pt>
                <c:pt idx="61">
                  <c:v>40939</c:v>
                </c:pt>
                <c:pt idx="62">
                  <c:v>40968</c:v>
                </c:pt>
                <c:pt idx="63">
                  <c:v>40999</c:v>
                </c:pt>
                <c:pt idx="64">
                  <c:v>41029</c:v>
                </c:pt>
                <c:pt idx="65">
                  <c:v>41060</c:v>
                </c:pt>
                <c:pt idx="66">
                  <c:v>41090</c:v>
                </c:pt>
                <c:pt idx="67">
                  <c:v>41121</c:v>
                </c:pt>
                <c:pt idx="68">
                  <c:v>41152</c:v>
                </c:pt>
                <c:pt idx="69">
                  <c:v>41182</c:v>
                </c:pt>
                <c:pt idx="70">
                  <c:v>41213</c:v>
                </c:pt>
                <c:pt idx="71">
                  <c:v>41243</c:v>
                </c:pt>
                <c:pt idx="72">
                  <c:v>41274</c:v>
                </c:pt>
                <c:pt idx="73">
                  <c:v>41305</c:v>
                </c:pt>
                <c:pt idx="74">
                  <c:v>41333</c:v>
                </c:pt>
                <c:pt idx="75">
                  <c:v>41364</c:v>
                </c:pt>
                <c:pt idx="76">
                  <c:v>41394</c:v>
                </c:pt>
                <c:pt idx="77">
                  <c:v>41425</c:v>
                </c:pt>
                <c:pt idx="78">
                  <c:v>41455</c:v>
                </c:pt>
                <c:pt idx="79">
                  <c:v>41486</c:v>
                </c:pt>
                <c:pt idx="80">
                  <c:v>41517</c:v>
                </c:pt>
                <c:pt idx="81">
                  <c:v>41547</c:v>
                </c:pt>
                <c:pt idx="82">
                  <c:v>41578</c:v>
                </c:pt>
                <c:pt idx="83">
                  <c:v>41608</c:v>
                </c:pt>
                <c:pt idx="84">
                  <c:v>41639</c:v>
                </c:pt>
                <c:pt idx="85">
                  <c:v>41670</c:v>
                </c:pt>
                <c:pt idx="86">
                  <c:v>41698</c:v>
                </c:pt>
                <c:pt idx="87">
                  <c:v>41729</c:v>
                </c:pt>
                <c:pt idx="88">
                  <c:v>41759</c:v>
                </c:pt>
                <c:pt idx="89">
                  <c:v>41790</c:v>
                </c:pt>
                <c:pt idx="90">
                  <c:v>41820</c:v>
                </c:pt>
                <c:pt idx="91">
                  <c:v>41851</c:v>
                </c:pt>
                <c:pt idx="92">
                  <c:v>41882</c:v>
                </c:pt>
                <c:pt idx="93">
                  <c:v>41912</c:v>
                </c:pt>
                <c:pt idx="94">
                  <c:v>41943</c:v>
                </c:pt>
                <c:pt idx="95">
                  <c:v>41973</c:v>
                </c:pt>
                <c:pt idx="96">
                  <c:v>42004</c:v>
                </c:pt>
                <c:pt idx="97">
                  <c:v>42035</c:v>
                </c:pt>
                <c:pt idx="98">
                  <c:v>42063</c:v>
                </c:pt>
                <c:pt idx="99">
                  <c:v>42094</c:v>
                </c:pt>
                <c:pt idx="100">
                  <c:v>42124</c:v>
                </c:pt>
                <c:pt idx="101">
                  <c:v>42155</c:v>
                </c:pt>
                <c:pt idx="102">
                  <c:v>42185</c:v>
                </c:pt>
                <c:pt idx="103">
                  <c:v>42216</c:v>
                </c:pt>
                <c:pt idx="104">
                  <c:v>42247</c:v>
                </c:pt>
                <c:pt idx="105">
                  <c:v>42277</c:v>
                </c:pt>
                <c:pt idx="106">
                  <c:v>42308</c:v>
                </c:pt>
                <c:pt idx="107">
                  <c:v>42338</c:v>
                </c:pt>
                <c:pt idx="108">
                  <c:v>42369</c:v>
                </c:pt>
                <c:pt idx="109">
                  <c:v>42400</c:v>
                </c:pt>
                <c:pt idx="110">
                  <c:v>42429</c:v>
                </c:pt>
                <c:pt idx="111">
                  <c:v>42460</c:v>
                </c:pt>
                <c:pt idx="112">
                  <c:v>42490</c:v>
                </c:pt>
                <c:pt idx="113">
                  <c:v>42521</c:v>
                </c:pt>
                <c:pt idx="114">
                  <c:v>42551</c:v>
                </c:pt>
                <c:pt idx="115">
                  <c:v>42582</c:v>
                </c:pt>
                <c:pt idx="116">
                  <c:v>42613</c:v>
                </c:pt>
                <c:pt idx="117">
                  <c:v>42643</c:v>
                </c:pt>
                <c:pt idx="118">
                  <c:v>42674</c:v>
                </c:pt>
                <c:pt idx="119">
                  <c:v>42704</c:v>
                </c:pt>
                <c:pt idx="120">
                  <c:v>42735</c:v>
                </c:pt>
                <c:pt idx="121">
                  <c:v>42766</c:v>
                </c:pt>
                <c:pt idx="122">
                  <c:v>42794</c:v>
                </c:pt>
                <c:pt idx="123">
                  <c:v>42825</c:v>
                </c:pt>
                <c:pt idx="124">
                  <c:v>42855</c:v>
                </c:pt>
                <c:pt idx="125">
                  <c:v>42886</c:v>
                </c:pt>
                <c:pt idx="126">
                  <c:v>42916</c:v>
                </c:pt>
                <c:pt idx="127">
                  <c:v>42947</c:v>
                </c:pt>
                <c:pt idx="128">
                  <c:v>42978</c:v>
                </c:pt>
                <c:pt idx="129">
                  <c:v>43008</c:v>
                </c:pt>
                <c:pt idx="130">
                  <c:v>43039</c:v>
                </c:pt>
                <c:pt idx="131">
                  <c:v>43069</c:v>
                </c:pt>
                <c:pt idx="132">
                  <c:v>43100</c:v>
                </c:pt>
                <c:pt idx="133">
                  <c:v>43131</c:v>
                </c:pt>
                <c:pt idx="134">
                  <c:v>43159</c:v>
                </c:pt>
                <c:pt idx="135">
                  <c:v>43190</c:v>
                </c:pt>
                <c:pt idx="136">
                  <c:v>43220</c:v>
                </c:pt>
                <c:pt idx="137">
                  <c:v>43251</c:v>
                </c:pt>
                <c:pt idx="138">
                  <c:v>43281</c:v>
                </c:pt>
                <c:pt idx="139">
                  <c:v>43312</c:v>
                </c:pt>
                <c:pt idx="140">
                  <c:v>43343</c:v>
                </c:pt>
                <c:pt idx="141">
                  <c:v>43373</c:v>
                </c:pt>
                <c:pt idx="142">
                  <c:v>43404</c:v>
                </c:pt>
                <c:pt idx="143">
                  <c:v>43434</c:v>
                </c:pt>
                <c:pt idx="144">
                  <c:v>43465</c:v>
                </c:pt>
                <c:pt idx="145">
                  <c:v>43496</c:v>
                </c:pt>
                <c:pt idx="146">
                  <c:v>43524</c:v>
                </c:pt>
                <c:pt idx="147">
                  <c:v>43555</c:v>
                </c:pt>
                <c:pt idx="148">
                  <c:v>43585</c:v>
                </c:pt>
                <c:pt idx="149">
                  <c:v>43616</c:v>
                </c:pt>
                <c:pt idx="150">
                  <c:v>43646</c:v>
                </c:pt>
                <c:pt idx="151">
                  <c:v>43677</c:v>
                </c:pt>
                <c:pt idx="152">
                  <c:v>43708</c:v>
                </c:pt>
                <c:pt idx="153">
                  <c:v>43738</c:v>
                </c:pt>
                <c:pt idx="154">
                  <c:v>43769</c:v>
                </c:pt>
                <c:pt idx="155">
                  <c:v>43799</c:v>
                </c:pt>
                <c:pt idx="156">
                  <c:v>43830</c:v>
                </c:pt>
                <c:pt idx="157">
                  <c:v>43861</c:v>
                </c:pt>
                <c:pt idx="158">
                  <c:v>43890</c:v>
                </c:pt>
                <c:pt idx="159">
                  <c:v>43921</c:v>
                </c:pt>
                <c:pt idx="160">
                  <c:v>43951</c:v>
                </c:pt>
                <c:pt idx="161">
                  <c:v>43982</c:v>
                </c:pt>
                <c:pt idx="162">
                  <c:v>44012</c:v>
                </c:pt>
                <c:pt idx="163">
                  <c:v>44043</c:v>
                </c:pt>
                <c:pt idx="164">
                  <c:v>44074</c:v>
                </c:pt>
                <c:pt idx="165">
                  <c:v>44104</c:v>
                </c:pt>
                <c:pt idx="166">
                  <c:v>44135</c:v>
                </c:pt>
                <c:pt idx="167">
                  <c:v>44165</c:v>
                </c:pt>
                <c:pt idx="168">
                  <c:v>44196</c:v>
                </c:pt>
                <c:pt idx="169">
                  <c:v>44227</c:v>
                </c:pt>
                <c:pt idx="170">
                  <c:v>44255</c:v>
                </c:pt>
                <c:pt idx="171">
                  <c:v>44286</c:v>
                </c:pt>
                <c:pt idx="172">
                  <c:v>44316</c:v>
                </c:pt>
                <c:pt idx="173">
                  <c:v>44347</c:v>
                </c:pt>
                <c:pt idx="174">
                  <c:v>44377</c:v>
                </c:pt>
                <c:pt idx="175">
                  <c:v>44408</c:v>
                </c:pt>
                <c:pt idx="176">
                  <c:v>44439</c:v>
                </c:pt>
                <c:pt idx="177">
                  <c:v>44469</c:v>
                </c:pt>
                <c:pt idx="178">
                  <c:v>44500</c:v>
                </c:pt>
                <c:pt idx="179">
                  <c:v>44530</c:v>
                </c:pt>
                <c:pt idx="180">
                  <c:v>44561</c:v>
                </c:pt>
                <c:pt idx="181">
                  <c:v>44592</c:v>
                </c:pt>
                <c:pt idx="182">
                  <c:v>44620</c:v>
                </c:pt>
                <c:pt idx="183">
                  <c:v>44651</c:v>
                </c:pt>
                <c:pt idx="184">
                  <c:v>44681</c:v>
                </c:pt>
                <c:pt idx="185">
                  <c:v>44712</c:v>
                </c:pt>
                <c:pt idx="186">
                  <c:v>44742</c:v>
                </c:pt>
                <c:pt idx="187">
                  <c:v>44773</c:v>
                </c:pt>
                <c:pt idx="188">
                  <c:v>44804</c:v>
                </c:pt>
                <c:pt idx="189">
                  <c:v>44834</c:v>
                </c:pt>
                <c:pt idx="190">
                  <c:v>44865</c:v>
                </c:pt>
                <c:pt idx="191">
                  <c:v>44895</c:v>
                </c:pt>
                <c:pt idx="192">
                  <c:v>44926</c:v>
                </c:pt>
                <c:pt idx="193">
                  <c:v>44957</c:v>
                </c:pt>
                <c:pt idx="194">
                  <c:v>44985</c:v>
                </c:pt>
                <c:pt idx="195">
                  <c:v>45016</c:v>
                </c:pt>
                <c:pt idx="196">
                  <c:v>45046</c:v>
                </c:pt>
                <c:pt idx="197">
                  <c:v>45077</c:v>
                </c:pt>
                <c:pt idx="198">
                  <c:v>45107</c:v>
                </c:pt>
                <c:pt idx="199">
                  <c:v>45138</c:v>
                </c:pt>
                <c:pt idx="200">
                  <c:v>45169</c:v>
                </c:pt>
                <c:pt idx="201">
                  <c:v>45199</c:v>
                </c:pt>
                <c:pt idx="202">
                  <c:v>45230</c:v>
                </c:pt>
                <c:pt idx="203">
                  <c:v>45260</c:v>
                </c:pt>
                <c:pt idx="204">
                  <c:v>45291</c:v>
                </c:pt>
                <c:pt idx="205">
                  <c:v>45322</c:v>
                </c:pt>
                <c:pt idx="206">
                  <c:v>45351</c:v>
                </c:pt>
                <c:pt idx="207">
                  <c:v>45382</c:v>
                </c:pt>
                <c:pt idx="208">
                  <c:v>45412</c:v>
                </c:pt>
                <c:pt idx="209">
                  <c:v>45443</c:v>
                </c:pt>
                <c:pt idx="210">
                  <c:v>45473</c:v>
                </c:pt>
                <c:pt idx="211">
                  <c:v>45504</c:v>
                </c:pt>
                <c:pt idx="212">
                  <c:v>45535</c:v>
                </c:pt>
                <c:pt idx="213">
                  <c:v>45565</c:v>
                </c:pt>
                <c:pt idx="214">
                  <c:v>45596</c:v>
                </c:pt>
                <c:pt idx="215">
                  <c:v>45626</c:v>
                </c:pt>
                <c:pt idx="216">
                  <c:v>45657</c:v>
                </c:pt>
                <c:pt idx="217">
                  <c:v>45688</c:v>
                </c:pt>
                <c:pt idx="218">
                  <c:v>45716</c:v>
                </c:pt>
                <c:pt idx="219">
                  <c:v>45747</c:v>
                </c:pt>
                <c:pt idx="220">
                  <c:v>45777</c:v>
                </c:pt>
                <c:pt idx="221">
                  <c:v>45808</c:v>
                </c:pt>
                <c:pt idx="222">
                  <c:v>45838</c:v>
                </c:pt>
                <c:pt idx="223">
                  <c:v>45869</c:v>
                </c:pt>
                <c:pt idx="224">
                  <c:v>45900</c:v>
                </c:pt>
                <c:pt idx="225">
                  <c:v>45930</c:v>
                </c:pt>
                <c:pt idx="226">
                  <c:v>45961</c:v>
                </c:pt>
                <c:pt idx="227">
                  <c:v>45991</c:v>
                </c:pt>
                <c:pt idx="228">
                  <c:v>46022</c:v>
                </c:pt>
              </c:numCache>
            </c:numRef>
          </c:cat>
          <c:val>
            <c:numRef>
              <c:f>Arkusz1!$F$2:$F$230</c:f>
              <c:numCache>
                <c:formatCode>0.00</c:formatCode>
                <c:ptCount val="229"/>
                <c:pt idx="0" formatCode="General">
                  <c:v>1000</c:v>
                </c:pt>
                <c:pt idx="1">
                  <c:v>1009.1949708383845</c:v>
                </c:pt>
                <c:pt idx="2">
                  <c:v>1008.5847562833662</c:v>
                </c:pt>
                <c:pt idx="3">
                  <c:v>1014.1356708090973</c:v>
                </c:pt>
                <c:pt idx="4">
                  <c:v>1009.4110068948487</c:v>
                </c:pt>
                <c:pt idx="5">
                  <c:v>1013.8919505896229</c:v>
                </c:pt>
                <c:pt idx="6">
                  <c:v>994.46316960335287</c:v>
                </c:pt>
                <c:pt idx="7">
                  <c:v>1002.2835244200144</c:v>
                </c:pt>
                <c:pt idx="8">
                  <c:v>992.74359179419241</c:v>
                </c:pt>
                <c:pt idx="9">
                  <c:v>1004.1557875142234</c:v>
                </c:pt>
                <c:pt idx="10">
                  <c:v>1023.0471010643402</c:v>
                </c:pt>
                <c:pt idx="11">
                  <c:v>1007.6506998046776</c:v>
                </c:pt>
                <c:pt idx="12">
                  <c:v>1002.1065381224074</c:v>
                </c:pt>
                <c:pt idx="13">
                  <c:v>1024.1833193556658</c:v>
                </c:pt>
                <c:pt idx="14">
                  <c:v>1007.4311060062772</c:v>
                </c:pt>
                <c:pt idx="15">
                  <c:v>1012.5947548907911</c:v>
                </c:pt>
                <c:pt idx="16">
                  <c:v>1016.8839763825665</c:v>
                </c:pt>
                <c:pt idx="17">
                  <c:v>998.8816728837528</c:v>
                </c:pt>
                <c:pt idx="18">
                  <c:v>980.00630661902596</c:v>
                </c:pt>
                <c:pt idx="19">
                  <c:v>1010.966256470748</c:v>
                </c:pt>
                <c:pt idx="20">
                  <c:v>1031.2996539403373</c:v>
                </c:pt>
                <c:pt idx="21">
                  <c:v>1051.5470945410957</c:v>
                </c:pt>
                <c:pt idx="22">
                  <c:v>1000.0196140790056</c:v>
                </c:pt>
                <c:pt idx="23">
                  <c:v>1058.8550701737222</c:v>
                </c:pt>
                <c:pt idx="24">
                  <c:v>1105.7809662062821</c:v>
                </c:pt>
                <c:pt idx="25">
                  <c:v>1080.3190556109901</c:v>
                </c:pt>
                <c:pt idx="26">
                  <c:v>1052.3003823922847</c:v>
                </c:pt>
                <c:pt idx="27">
                  <c:v>1048.2744391468782</c:v>
                </c:pt>
                <c:pt idx="28">
                  <c:v>1060.5303462324941</c:v>
                </c:pt>
                <c:pt idx="29">
                  <c:v>1058.7489427234004</c:v>
                </c:pt>
                <c:pt idx="30">
                  <c:v>1066.9388072846723</c:v>
                </c:pt>
                <c:pt idx="31">
                  <c:v>1084.6754230034007</c:v>
                </c:pt>
                <c:pt idx="32">
                  <c:v>1089.8828074662742</c:v>
                </c:pt>
                <c:pt idx="33">
                  <c:v>1090.4049728981793</c:v>
                </c:pt>
                <c:pt idx="34">
                  <c:v>1098.7439884402138</c:v>
                </c:pt>
                <c:pt idx="35">
                  <c:v>1100.6685242922706</c:v>
                </c:pt>
                <c:pt idx="36">
                  <c:v>1101.041488996178</c:v>
                </c:pt>
                <c:pt idx="37">
                  <c:v>1118.9337407970929</c:v>
                </c:pt>
                <c:pt idx="38">
                  <c:v>1129.085918049409</c:v>
                </c:pt>
                <c:pt idx="39">
                  <c:v>1181.3173903478719</c:v>
                </c:pt>
                <c:pt idx="40">
                  <c:v>1176.9648306284128</c:v>
                </c:pt>
                <c:pt idx="41">
                  <c:v>1166.4082641662062</c:v>
                </c:pt>
                <c:pt idx="42">
                  <c:v>1160.1161697674847</c:v>
                </c:pt>
                <c:pt idx="43">
                  <c:v>1170.861152043874</c:v>
                </c:pt>
                <c:pt idx="44">
                  <c:v>1216.5883995849963</c:v>
                </c:pt>
                <c:pt idx="45">
                  <c:v>1215.6543309467741</c:v>
                </c:pt>
                <c:pt idx="46">
                  <c:v>1206.0805956152808</c:v>
                </c:pt>
                <c:pt idx="47">
                  <c:v>1177.4463913588877</c:v>
                </c:pt>
                <c:pt idx="48">
                  <c:v>1183.3875896086195</c:v>
                </c:pt>
                <c:pt idx="49">
                  <c:v>1164.4688868657154</c:v>
                </c:pt>
                <c:pt idx="50">
                  <c:v>1179.8229574001432</c:v>
                </c:pt>
                <c:pt idx="51">
                  <c:v>1182.7668067598113</c:v>
                </c:pt>
                <c:pt idx="52">
                  <c:v>1200.2431670860174</c:v>
                </c:pt>
                <c:pt idx="53">
                  <c:v>1213.6434276657815</c:v>
                </c:pt>
                <c:pt idx="54">
                  <c:v>1245.1512230310486</c:v>
                </c:pt>
                <c:pt idx="55">
                  <c:v>1249.9416153538846</c:v>
                </c:pt>
                <c:pt idx="56">
                  <c:v>1272.9091758270799</c:v>
                </c:pt>
                <c:pt idx="57">
                  <c:v>1250.1473774696606</c:v>
                </c:pt>
                <c:pt idx="58">
                  <c:v>1273.528483797347</c:v>
                </c:pt>
                <c:pt idx="59">
                  <c:v>1261.66199089578</c:v>
                </c:pt>
                <c:pt idx="60">
                  <c:v>1270.8901022304563</c:v>
                </c:pt>
                <c:pt idx="61">
                  <c:v>1307.2129864419235</c:v>
                </c:pt>
                <c:pt idx="62">
                  <c:v>1324.881643156099</c:v>
                </c:pt>
                <c:pt idx="63">
                  <c:v>1326.8016219379551</c:v>
                </c:pt>
                <c:pt idx="64">
                  <c:v>1342.260094841113</c:v>
                </c:pt>
                <c:pt idx="65">
                  <c:v>1344.2386310720947</c:v>
                </c:pt>
                <c:pt idx="66">
                  <c:v>1381.3558505404694</c:v>
                </c:pt>
                <c:pt idx="67">
                  <c:v>1417.748208950203</c:v>
                </c:pt>
                <c:pt idx="68">
                  <c:v>1425.7089966606104</c:v>
                </c:pt>
                <c:pt idx="69">
                  <c:v>1448.8306954063628</c:v>
                </c:pt>
                <c:pt idx="70">
                  <c:v>1467.8880138921904</c:v>
                </c:pt>
                <c:pt idx="71">
                  <c:v>1538.9644833344851</c:v>
                </c:pt>
                <c:pt idx="72">
                  <c:v>1581.3445597211814</c:v>
                </c:pt>
                <c:pt idx="73">
                  <c:v>1561.2580850403094</c:v>
                </c:pt>
                <c:pt idx="74">
                  <c:v>1560.0167142839414</c:v>
                </c:pt>
                <c:pt idx="75">
                  <c:v>1568.3575909677816</c:v>
                </c:pt>
                <c:pt idx="76">
                  <c:v>1664.1827663906104</c:v>
                </c:pt>
                <c:pt idx="77">
                  <c:v>1619.9777720830414</c:v>
                </c:pt>
                <c:pt idx="78">
                  <c:v>1530.4048830553681</c:v>
                </c:pt>
                <c:pt idx="79">
                  <c:v>1566.3720927109953</c:v>
                </c:pt>
                <c:pt idx="80">
                  <c:v>1527.1727684433554</c:v>
                </c:pt>
                <c:pt idx="81">
                  <c:v>1527.8813414457863</c:v>
                </c:pt>
                <c:pt idx="82">
                  <c:v>1568.1107281020875</c:v>
                </c:pt>
                <c:pt idx="83">
                  <c:v>1536.7214699653675</c:v>
                </c:pt>
                <c:pt idx="84">
                  <c:v>1562.0097426241073</c:v>
                </c:pt>
                <c:pt idx="85">
                  <c:v>1518.7352465549932</c:v>
                </c:pt>
                <c:pt idx="86">
                  <c:v>1570.167613108357</c:v>
                </c:pt>
                <c:pt idx="87">
                  <c:v>1594.4340342042192</c:v>
                </c:pt>
                <c:pt idx="88">
                  <c:v>1624.4768241900256</c:v>
                </c:pt>
                <c:pt idx="89">
                  <c:v>1675.8499716980759</c:v>
                </c:pt>
                <c:pt idx="90">
                  <c:v>1714.5367697446884</c:v>
                </c:pt>
                <c:pt idx="91">
                  <c:v>1722.9162517313084</c:v>
                </c:pt>
                <c:pt idx="92">
                  <c:v>1772.2008859073132</c:v>
                </c:pt>
                <c:pt idx="93">
                  <c:v>1786.4629298004445</c:v>
                </c:pt>
                <c:pt idx="94">
                  <c:v>1870.0629413073168</c:v>
                </c:pt>
                <c:pt idx="95">
                  <c:v>1901.1459965405238</c:v>
                </c:pt>
                <c:pt idx="96">
                  <c:v>1882.7248946690818</c:v>
                </c:pt>
                <c:pt idx="97">
                  <c:v>1977.9505791851661</c:v>
                </c:pt>
                <c:pt idx="98">
                  <c:v>1948.5740802423643</c:v>
                </c:pt>
                <c:pt idx="99">
                  <c:v>1925.5035471374592</c:v>
                </c:pt>
                <c:pt idx="100">
                  <c:v>1881.4178412050424</c:v>
                </c:pt>
                <c:pt idx="101">
                  <c:v>1831.677288377565</c:v>
                </c:pt>
                <c:pt idx="102">
                  <c:v>1777.0598361049595</c:v>
                </c:pt>
                <c:pt idx="103">
                  <c:v>1839.8305964121337</c:v>
                </c:pt>
                <c:pt idx="104">
                  <c:v>1843.5771864268245</c:v>
                </c:pt>
                <c:pt idx="105">
                  <c:v>1865.3774746638474</c:v>
                </c:pt>
                <c:pt idx="106">
                  <c:v>1897.5888218170235</c:v>
                </c:pt>
                <c:pt idx="107">
                  <c:v>1901.9910668629655</c:v>
                </c:pt>
                <c:pt idx="108">
                  <c:v>1863.9643228016216</c:v>
                </c:pt>
                <c:pt idx="109">
                  <c:v>1834.7859991483285</c:v>
                </c:pt>
                <c:pt idx="110">
                  <c:v>1872.0623384506846</c:v>
                </c:pt>
                <c:pt idx="111">
                  <c:v>1895.644840849546</c:v>
                </c:pt>
                <c:pt idx="112">
                  <c:v>1861.1476552226038</c:v>
                </c:pt>
                <c:pt idx="113">
                  <c:v>1859.1258814212722</c:v>
                </c:pt>
                <c:pt idx="114">
                  <c:v>1891.2810099330929</c:v>
                </c:pt>
                <c:pt idx="115">
                  <c:v>1898.9905651076033</c:v>
                </c:pt>
                <c:pt idx="116">
                  <c:v>1926.1873927519196</c:v>
                </c:pt>
                <c:pt idx="117">
                  <c:v>1908.4057143770003</c:v>
                </c:pt>
                <c:pt idx="118">
                  <c:v>1881.3471011276176</c:v>
                </c:pt>
                <c:pt idx="119">
                  <c:v>1803.718987847067</c:v>
                </c:pt>
                <c:pt idx="120">
                  <c:v>1811.4355717933211</c:v>
                </c:pt>
                <c:pt idx="121">
                  <c:v>1781.2496126467936</c:v>
                </c:pt>
                <c:pt idx="122">
                  <c:v>1794.4373465539436</c:v>
                </c:pt>
                <c:pt idx="123">
                  <c:v>1847.0030997472666</c:v>
                </c:pt>
                <c:pt idx="124">
                  <c:v>1862.4152072079175</c:v>
                </c:pt>
                <c:pt idx="125">
                  <c:v>1898.4972164167041</c:v>
                </c:pt>
                <c:pt idx="126">
                  <c:v>1893.9091563681943</c:v>
                </c:pt>
                <c:pt idx="127">
                  <c:v>1886.6142662834468</c:v>
                </c:pt>
                <c:pt idx="128">
                  <c:v>1906.2016335211117</c:v>
                </c:pt>
                <c:pt idx="129">
                  <c:v>1897.8820202022669</c:v>
                </c:pt>
                <c:pt idx="130">
                  <c:v>1893.4146055646218</c:v>
                </c:pt>
                <c:pt idx="131">
                  <c:v>1914.7168275501608</c:v>
                </c:pt>
                <c:pt idx="132">
                  <c:v>1926.6438104988199</c:v>
                </c:pt>
                <c:pt idx="133">
                  <c:v>1905.9382745487464</c:v>
                </c:pt>
                <c:pt idx="134">
                  <c:v>1925.475286021368</c:v>
                </c:pt>
                <c:pt idx="135">
                  <c:v>1963.7610438739932</c:v>
                </c:pt>
                <c:pt idx="136">
                  <c:v>1983.4544264391884</c:v>
                </c:pt>
                <c:pt idx="137">
                  <c:v>1958.0261308266249</c:v>
                </c:pt>
                <c:pt idx="138">
                  <c:v>1970.1277634752457</c:v>
                </c:pt>
                <c:pt idx="139">
                  <c:v>1983.5846767392961</c:v>
                </c:pt>
                <c:pt idx="140">
                  <c:v>1984.3225110946078</c:v>
                </c:pt>
                <c:pt idx="141">
                  <c:v>1979.9426162926759</c:v>
                </c:pt>
                <c:pt idx="142">
                  <c:v>1992.005882789701</c:v>
                </c:pt>
                <c:pt idx="143">
                  <c:v>2026.314424901085</c:v>
                </c:pt>
                <c:pt idx="144">
                  <c:v>2068.8958446195338</c:v>
                </c:pt>
                <c:pt idx="145">
                  <c:v>2092.5481759834261</c:v>
                </c:pt>
                <c:pt idx="146">
                  <c:v>2058.3451894017207</c:v>
                </c:pt>
                <c:pt idx="147">
                  <c:v>2082.6781794994131</c:v>
                </c:pt>
                <c:pt idx="148">
                  <c:v>2056.7525179013842</c:v>
                </c:pt>
                <c:pt idx="149">
                  <c:v>2124.4687271696589</c:v>
                </c:pt>
                <c:pt idx="150">
                  <c:v>2174.4547558187237</c:v>
                </c:pt>
                <c:pt idx="151">
                  <c:v>2222.2263893301379</c:v>
                </c:pt>
                <c:pt idx="152">
                  <c:v>2297.4972206739681</c:v>
                </c:pt>
                <c:pt idx="153">
                  <c:v>2267.9090037749693</c:v>
                </c:pt>
                <c:pt idx="154">
                  <c:v>2281.4659962759115</c:v>
                </c:pt>
                <c:pt idx="155">
                  <c:v>2275.9917498697437</c:v>
                </c:pt>
                <c:pt idx="156">
                  <c:v>2258.2981858702733</c:v>
                </c:pt>
                <c:pt idx="157">
                  <c:v>2257.2409330397977</c:v>
                </c:pt>
                <c:pt idx="158">
                  <c:v>2332.3576454463087</c:v>
                </c:pt>
                <c:pt idx="159">
                  <c:v>2362.5962126604518</c:v>
                </c:pt>
                <c:pt idx="160">
                  <c:v>2408.6828866081114</c:v>
                </c:pt>
                <c:pt idx="161">
                  <c:v>2478.6610114807299</c:v>
                </c:pt>
                <c:pt idx="162">
                  <c:v>2435.2264235997254</c:v>
                </c:pt>
                <c:pt idx="163">
                  <c:v>2460.3961966987399</c:v>
                </c:pt>
                <c:pt idx="164">
                  <c:v>2434.3625515870754</c:v>
                </c:pt>
                <c:pt idx="165">
                  <c:v>2456.8246383691599</c:v>
                </c:pt>
                <c:pt idx="166">
                  <c:v>2488.6172760614995</c:v>
                </c:pt>
                <c:pt idx="167">
                  <c:v>2479.2395837123345</c:v>
                </c:pt>
                <c:pt idx="168">
                  <c:v>2481.5437941840846</c:v>
                </c:pt>
                <c:pt idx="169">
                  <c:v>2502.4077469795566</c:v>
                </c:pt>
                <c:pt idx="170">
                  <c:v>2405.4947088691638</c:v>
                </c:pt>
                <c:pt idx="171">
                  <c:v>2416.3801874154042</c:v>
                </c:pt>
                <c:pt idx="172">
                  <c:v>2386.1091608245688</c:v>
                </c:pt>
                <c:pt idx="173">
                  <c:v>2356.9838039715823</c:v>
                </c:pt>
                <c:pt idx="174">
                  <c:v>2407.9204659055108</c:v>
                </c:pt>
                <c:pt idx="175">
                  <c:v>2395.6536104265156</c:v>
                </c:pt>
                <c:pt idx="176">
                  <c:v>2377.8164270029624</c:v>
                </c:pt>
                <c:pt idx="177">
                  <c:v>2303.8867485617957</c:v>
                </c:pt>
                <c:pt idx="178">
                  <c:v>2178.6903000908601</c:v>
                </c:pt>
                <c:pt idx="179">
                  <c:v>2143.7725758651709</c:v>
                </c:pt>
                <c:pt idx="180">
                  <c:v>2042.5624025992283</c:v>
                </c:pt>
                <c:pt idx="181">
                  <c:v>1976.3726886896266</c:v>
                </c:pt>
                <c:pt idx="182">
                  <c:v>1980.5293124719938</c:v>
                </c:pt>
                <c:pt idx="183">
                  <c:v>1820.0771683732451</c:v>
                </c:pt>
                <c:pt idx="184">
                  <c:v>1675.357065639892</c:v>
                </c:pt>
                <c:pt idx="185">
                  <c:v>1661.2469922286259</c:v>
                </c:pt>
                <c:pt idx="186">
                  <c:v>1630.6262556205861</c:v>
                </c:pt>
                <c:pt idx="187">
                  <c:v>1803.4766427238142</c:v>
                </c:pt>
                <c:pt idx="188">
                  <c:v>1731.9378259713092</c:v>
                </c:pt>
                <c:pt idx="189">
                  <c:v>1622.7285118343484</c:v>
                </c:pt>
                <c:pt idx="190">
                  <c:v>1500.3097360753959</c:v>
                </c:pt>
                <c:pt idx="191">
                  <c:v>1700.4147838087774</c:v>
                </c:pt>
                <c:pt idx="192">
                  <c:v>1677.8030392794381</c:v>
                </c:pt>
                <c:pt idx="193">
                  <c:v>1792.5762315677307</c:v>
                </c:pt>
                <c:pt idx="194">
                  <c:v>1732.585407102051</c:v>
                </c:pt>
                <c:pt idx="195">
                  <c:v>1804.2718458414038</c:v>
                </c:pt>
                <c:pt idx="196">
                  <c:v>1834.275478009313</c:v>
                </c:pt>
                <c:pt idx="197">
                  <c:v>1824.9851169314372</c:v>
                </c:pt>
                <c:pt idx="198">
                  <c:v>1869.8862193201765</c:v>
                </c:pt>
                <c:pt idx="199">
                  <c:v>1927.8620639843562</c:v>
                </c:pt>
                <c:pt idx="200">
                  <c:v>1914.0269650753489</c:v>
                </c:pt>
                <c:pt idx="201">
                  <c:v>1876.1388158671734</c:v>
                </c:pt>
                <c:pt idx="202">
                  <c:v>1919.890629914825</c:v>
                </c:pt>
                <c:pt idx="203">
                  <c:v>1951.0130476023953</c:v>
                </c:pt>
                <c:pt idx="204">
                  <c:v>2002.5845214380727</c:v>
                </c:pt>
                <c:pt idx="205">
                  <c:v>2009.9096698083983</c:v>
                </c:pt>
                <c:pt idx="206">
                  <c:v>2005.4704934733604</c:v>
                </c:pt>
                <c:pt idx="207">
                  <c:v>1996.0830416008625</c:v>
                </c:pt>
                <c:pt idx="208">
                  <c:v>1963.2464348538599</c:v>
                </c:pt>
                <c:pt idx="209">
                  <c:v>1974.7992700934763</c:v>
                </c:pt>
                <c:pt idx="210">
                  <c:v>1980.3299076734531</c:v>
                </c:pt>
                <c:pt idx="211">
                  <c:v>2037.0191837988405</c:v>
                </c:pt>
                <c:pt idx="212">
                  <c:v>2044.1902775053481</c:v>
                </c:pt>
                <c:pt idx="213">
                  <c:v>2069.4909754710329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D-4DE4-8774-B2F229F62E24}"/>
            </c:ext>
          </c:extLst>
        </c:ser>
        <c:ser>
          <c:idx val="1"/>
          <c:order val="2"/>
          <c:tx>
            <c:strRef>
              <c:f>Arkusz1!$K$1</c:f>
              <c:strCache>
                <c:ptCount val="1"/>
                <c:pt idx="0">
                  <c:v>TBSP_regr_index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Arkusz1!$K$3:$K$215</c:f>
              <c:numCache>
                <c:formatCode>0.00</c:formatCode>
                <c:ptCount val="213"/>
                <c:pt idx="0">
                  <c:v>1005.9246639983405</c:v>
                </c:pt>
                <c:pt idx="1">
                  <c:v>1007.4129847514126</c:v>
                </c:pt>
                <c:pt idx="2">
                  <c:v>1011.6947810058949</c:v>
                </c:pt>
                <c:pt idx="3">
                  <c:v>1011.3311689821725</c:v>
                </c:pt>
                <c:pt idx="4">
                  <c:v>1015.1412901312875</c:v>
                </c:pt>
                <c:pt idx="5">
                  <c:v>1008.0979191706174</c:v>
                </c:pt>
                <c:pt idx="6">
                  <c:v>1013.4618958353905</c:v>
                </c:pt>
                <c:pt idx="7">
                  <c:v>1010.8637573888116</c:v>
                </c:pt>
                <c:pt idx="8">
                  <c:v>1017.9076934424695</c:v>
                </c:pt>
                <c:pt idx="9">
                  <c:v>1028.3793781517406</c:v>
                </c:pt>
                <c:pt idx="10">
                  <c:v>1023.1627702805108</c:v>
                </c:pt>
                <c:pt idx="11">
                  <c:v>1022.4036747965926</c:v>
                </c:pt>
                <c:pt idx="12">
                  <c:v>1034.4136475201578</c:v>
                </c:pt>
                <c:pt idx="13">
                  <c:v>1028.5531244897295</c:v>
                </c:pt>
                <c:pt idx="14">
                  <c:v>1032.7483662197292</c:v>
                </c:pt>
                <c:pt idx="15">
                  <c:v>1036.5439407581539</c:v>
                </c:pt>
                <c:pt idx="16">
                  <c:v>1030.0381411682956</c:v>
                </c:pt>
                <c:pt idx="17">
                  <c:v>1023.0157288871394</c:v>
                </c:pt>
                <c:pt idx="18">
                  <c:v>1039.4696729536286</c:v>
                </c:pt>
                <c:pt idx="19">
                  <c:v>1050.7759907998773</c:v>
                </c:pt>
                <c:pt idx="20">
                  <c:v>1061.9765526205233</c:v>
                </c:pt>
                <c:pt idx="21">
                  <c:v>1040.2343986406142</c:v>
                </c:pt>
                <c:pt idx="22">
                  <c:v>1069.8197668219018</c:v>
                </c:pt>
                <c:pt idx="23">
                  <c:v>1093.2020433905088</c:v>
                </c:pt>
                <c:pt idx="24">
                  <c:v>1083.7011926559207</c:v>
                </c:pt>
                <c:pt idx="25">
                  <c:v>1072.8527604121296</c:v>
                </c:pt>
                <c:pt idx="26">
                  <c:v>1072.8725236011437</c:v>
                </c:pt>
                <c:pt idx="27">
                  <c:v>1080.4438838746039</c:v>
                </c:pt>
                <c:pt idx="28">
                  <c:v>1081.5155776368365</c:v>
                </c:pt>
                <c:pt idx="29">
                  <c:v>1087.2071729064114</c:v>
                </c:pt>
                <c:pt idx="30">
                  <c:v>1097.3121073537802</c:v>
                </c:pt>
                <c:pt idx="31">
                  <c:v>1101.6261897058023</c:v>
                </c:pt>
                <c:pt idx="32">
                  <c:v>1103.7976568730087</c:v>
                </c:pt>
                <c:pt idx="33">
                  <c:v>1109.5625614450871</c:v>
                </c:pt>
                <c:pt idx="34">
                  <c:v>1112.3901061433753</c:v>
                </c:pt>
                <c:pt idx="35">
                  <c:v>1114.5120234842327</c:v>
                </c:pt>
                <c:pt idx="36">
                  <c:v>1124.6819004750143</c:v>
                </c:pt>
                <c:pt idx="37">
                  <c:v>1131.2830804176767</c:v>
                </c:pt>
                <c:pt idx="38">
                  <c:v>1157.0054486934439</c:v>
                </c:pt>
                <c:pt idx="39">
                  <c:v>1157.1009468146012</c:v>
                </c:pt>
                <c:pt idx="40">
                  <c:v>1154.4226592087323</c:v>
                </c:pt>
                <c:pt idx="41">
                  <c:v>1153.622550278684</c:v>
                </c:pt>
                <c:pt idx="42">
                  <c:v>1160.4924453208948</c:v>
                </c:pt>
                <c:pt idx="43">
                  <c:v>1183.0859396647984</c:v>
                </c:pt>
                <c:pt idx="44">
                  <c:v>1184.7488410677395</c:v>
                </c:pt>
                <c:pt idx="45">
                  <c:v>1182.594442101343</c:v>
                </c:pt>
                <c:pt idx="46">
                  <c:v>1171.9329614003293</c:v>
                </c:pt>
                <c:pt idx="47">
                  <c:v>1176.6706359629559</c:v>
                </c:pt>
                <c:pt idx="48">
                  <c:v>1170.2014993252708</c:v>
                </c:pt>
                <c:pt idx="49">
                  <c:v>1179.2527204721314</c:v>
                </c:pt>
                <c:pt idx="50">
                  <c:v>1182.6556091729296</c:v>
                </c:pt>
                <c:pt idx="51">
                  <c:v>1192.6563114586177</c:v>
                </c:pt>
                <c:pt idx="52">
                  <c:v>1200.7879582244595</c:v>
                </c:pt>
                <c:pt idx="53">
                  <c:v>1217.034477464372</c:v>
                </c:pt>
                <c:pt idx="54">
                  <c:v>1221.2927991716185</c:v>
                </c:pt>
                <c:pt idx="55">
                  <c:v>1233.6140336976016</c:v>
                </c:pt>
                <c:pt idx="56">
                  <c:v>1225.7715576292615</c:v>
                </c:pt>
                <c:pt idx="57">
                  <c:v>1238.3202221345168</c:v>
                </c:pt>
                <c:pt idx="58">
                  <c:v>1235.2581904289962</c:v>
                </c:pt>
                <c:pt idx="59">
                  <c:v>1241.5228879117738</c:v>
                </c:pt>
                <c:pt idx="60">
                  <c:v>1259.7956375962617</c:v>
                </c:pt>
                <c:pt idx="61">
                  <c:v>1269.728886023054</c:v>
                </c:pt>
                <c:pt idx="62">
                  <c:v>1272.7904177109126</c:v>
                </c:pt>
                <c:pt idx="63">
                  <c:v>1281.7491908676927</c:v>
                </c:pt>
                <c:pt idx="64">
                  <c:v>1284.8541611482078</c:v>
                </c:pt>
                <c:pt idx="65">
                  <c:v>1303.2001581138661</c:v>
                </c:pt>
                <c:pt idx="66">
                  <c:v>1321.059333233354</c:v>
                </c:pt>
                <c:pt idx="67">
                  <c:v>1326.7409870828517</c:v>
                </c:pt>
                <c:pt idx="68">
                  <c:v>1338.8278179356348</c:v>
                </c:pt>
                <c:pt idx="69">
                  <c:v>1349.1639585522325</c:v>
                </c:pt>
                <c:pt idx="70">
                  <c:v>1381.1628147886006</c:v>
                </c:pt>
                <c:pt idx="71">
                  <c:v>1400.8375914887445</c:v>
                </c:pt>
                <c:pt idx="72">
                  <c:v>1395.2232202976516</c:v>
                </c:pt>
                <c:pt idx="73">
                  <c:v>1397.1669961117373</c:v>
                </c:pt>
                <c:pt idx="74">
                  <c:v>1403.0058547304145</c:v>
                </c:pt>
                <c:pt idx="75">
                  <c:v>1444.3501271466757</c:v>
                </c:pt>
                <c:pt idx="76">
                  <c:v>1429.4806019105699</c:v>
                </c:pt>
                <c:pt idx="77">
                  <c:v>1396.1352210990299</c:v>
                </c:pt>
                <c:pt idx="78">
                  <c:v>1413.467154259439</c:v>
                </c:pt>
                <c:pt idx="79">
                  <c:v>1399.9010345261499</c:v>
                </c:pt>
                <c:pt idx="80">
                  <c:v>1402.6508407144438</c:v>
                </c:pt>
                <c:pt idx="81">
                  <c:v>1421.8632183052966</c:v>
                </c:pt>
                <c:pt idx="82">
                  <c:v>1411.4466563822657</c:v>
                </c:pt>
                <c:pt idx="83">
                  <c:v>1424.4577405527798</c:v>
                </c:pt>
                <c:pt idx="84">
                  <c:v>1409.0552598325435</c:v>
                </c:pt>
                <c:pt idx="85">
                  <c:v>1433.1713888966722</c:v>
                </c:pt>
                <c:pt idx="86">
                  <c:v>1445.7317925332311</c:v>
                </c:pt>
                <c:pt idx="87">
                  <c:v>1460.6238237274849</c:v>
                </c:pt>
                <c:pt idx="88">
                  <c:v>1484.1379137480187</c:v>
                </c:pt>
                <c:pt idx="89">
                  <c:v>1502.281686706071</c:v>
                </c:pt>
                <c:pt idx="90">
                  <c:v>1508.2468145780208</c:v>
                </c:pt>
                <c:pt idx="91">
                  <c:v>1530.4621031279908</c:v>
                </c:pt>
                <c:pt idx="92">
                  <c:v>1538.7330833562721</c:v>
                </c:pt>
                <c:pt idx="93">
                  <c:v>1574.0941890270612</c:v>
                </c:pt>
                <c:pt idx="94">
                  <c:v>1588.7227016951449</c:v>
                </c:pt>
                <c:pt idx="95">
                  <c:v>1584.5263806994947</c:v>
                </c:pt>
                <c:pt idx="96">
                  <c:v>1623.6583141844117</c:v>
                </c:pt>
                <c:pt idx="97">
                  <c:v>1615.5675694869517</c:v>
                </c:pt>
                <c:pt idx="98">
                  <c:v>1609.7246100123498</c:v>
                </c:pt>
                <c:pt idx="99">
                  <c:v>1595.8300304964948</c:v>
                </c:pt>
                <c:pt idx="100">
                  <c:v>1579.4913513428869</c:v>
                </c:pt>
                <c:pt idx="101">
                  <c:v>1560.8979915988314</c:v>
                </c:pt>
                <c:pt idx="102">
                  <c:v>1588.6449082828108</c:v>
                </c:pt>
                <c:pt idx="103">
                  <c:v>1592.8985478125751</c:v>
                </c:pt>
                <c:pt idx="104">
                  <c:v>1604.236229401145</c:v>
                </c:pt>
                <c:pt idx="105">
                  <c:v>1619.615386508437</c:v>
                </c:pt>
                <c:pt idx="106">
                  <c:v>1624.160253192648</c:v>
                </c:pt>
                <c:pt idx="107">
                  <c:v>1612.2794351207983</c:v>
                </c:pt>
                <c:pt idx="108">
                  <c:v>1603.65892497143</c:v>
                </c:pt>
                <c:pt idx="109">
                  <c:v>1621.2500467470084</c:v>
                </c:pt>
                <c:pt idx="110">
                  <c:v>1633.357309140677</c:v>
                </c:pt>
                <c:pt idx="111">
                  <c:v>1622.7391109898167</c:v>
                </c:pt>
                <c:pt idx="112">
                  <c:v>1624.7855123058098</c:v>
                </c:pt>
                <c:pt idx="113">
                  <c:v>1640.382175561499</c:v>
                </c:pt>
                <c:pt idx="114">
                  <c:v>1646.2922523627269</c:v>
                </c:pt>
                <c:pt idx="115">
                  <c:v>1659.874428166501</c:v>
                </c:pt>
                <c:pt idx="116">
                  <c:v>1655.8349579551812</c:v>
                </c:pt>
                <c:pt idx="117">
                  <c:v>1648.0896126733207</c:v>
                </c:pt>
                <c:pt idx="118">
                  <c:v>1620.1337194740347</c:v>
                </c:pt>
                <c:pt idx="119">
                  <c:v>1626.1191341898284</c:v>
                </c:pt>
                <c:pt idx="120">
                  <c:v>1616.6794936943982</c:v>
                </c:pt>
                <c:pt idx="121">
                  <c:v>1624.9441488949633</c:v>
                </c:pt>
                <c:pt idx="122">
                  <c:v>1649.3856755529623</c:v>
                </c:pt>
                <c:pt idx="123">
                  <c:v>1658.5213572069447</c:v>
                </c:pt>
                <c:pt idx="124">
                  <c:v>1676.0051037339886</c:v>
                </c:pt>
                <c:pt idx="125">
                  <c:v>1677.1072790316405</c:v>
                </c:pt>
                <c:pt idx="126">
                  <c:v>1677.1184598697139</c:v>
                </c:pt>
                <c:pt idx="127">
                  <c:v>1687.9580615935756</c:v>
                </c:pt>
                <c:pt idx="128">
                  <c:v>1687.5767356361969</c:v>
                </c:pt>
                <c:pt idx="129">
                  <c:v>1688.7345816910724</c:v>
                </c:pt>
                <c:pt idx="130">
                  <c:v>1700.3144682324685</c:v>
                </c:pt>
                <c:pt idx="131">
                  <c:v>1708.1008035162849</c:v>
                </c:pt>
                <c:pt idx="132">
                  <c:v>1702.769843003241</c:v>
                </c:pt>
                <c:pt idx="133">
                  <c:v>1713.6735252877563</c:v>
                </c:pt>
                <c:pt idx="134">
                  <c:v>1732.1351254377564</c:v>
                </c:pt>
                <c:pt idx="135">
                  <c:v>1743.0522667932703</c:v>
                </c:pt>
                <c:pt idx="136">
                  <c:v>1735.9730027467203</c:v>
                </c:pt>
                <c:pt idx="137">
                  <c:v>1743.8843740980133</c:v>
                </c:pt>
                <c:pt idx="138">
                  <c:v>1752.3459278821074</c:v>
                </c:pt>
                <c:pt idx="139">
                  <c:v>1755.7149038066609</c:v>
                </c:pt>
                <c:pt idx="140">
                  <c:v>1757.0362866373043</c:v>
                </c:pt>
                <c:pt idx="141">
                  <c:v>1764.9736811024873</c:v>
                </c:pt>
                <c:pt idx="142">
                  <c:v>1781.8578223503002</c:v>
                </c:pt>
                <c:pt idx="143">
                  <c:v>1801.9676464938577</c:v>
                </c:pt>
                <c:pt idx="144">
                  <c:v>1814.4724671814345</c:v>
                </c:pt>
                <c:pt idx="145">
                  <c:v>1804.2019612606052</c:v>
                </c:pt>
                <c:pt idx="146">
                  <c:v>1817.0408702155189</c:v>
                </c:pt>
                <c:pt idx="147">
                  <c:v>1809.9676923907286</c:v>
                </c:pt>
                <c:pt idx="148">
                  <c:v>1840.1725790117682</c:v>
                </c:pt>
                <c:pt idx="149">
                  <c:v>1863.0393930404405</c:v>
                </c:pt>
                <c:pt idx="150">
                  <c:v>1884.8726843420411</c:v>
                </c:pt>
                <c:pt idx="151">
                  <c:v>1917.1380778721302</c:v>
                </c:pt>
                <c:pt idx="152">
                  <c:v>1909.3011241121378</c:v>
                </c:pt>
                <c:pt idx="153">
                  <c:v>1917.8267891741596</c:v>
                </c:pt>
                <c:pt idx="154">
                  <c:v>1919.1029866490062</c:v>
                </c:pt>
                <c:pt idx="155">
                  <c:v>1915.70145307701</c:v>
                </c:pt>
                <c:pt idx="156">
                  <c:v>1918.654444231249</c:v>
                </c:pt>
                <c:pt idx="157">
                  <c:v>1950.981418138578</c:v>
                </c:pt>
                <c:pt idx="158">
                  <c:v>1965.876500596768</c:v>
                </c:pt>
                <c:pt idx="159">
                  <c:v>1986.7189299809229</c:v>
                </c:pt>
                <c:pt idx="160">
                  <c:v>2016.3846402902668</c:v>
                </c:pt>
                <c:pt idx="161">
                  <c:v>2003.8935615332186</c:v>
                </c:pt>
                <c:pt idx="162">
                  <c:v>2016.8028427359079</c:v>
                </c:pt>
                <c:pt idx="163">
                  <c:v>2010.6601658894281</c:v>
                </c:pt>
                <c:pt idx="164">
                  <c:v>2022.6019472523919</c:v>
                </c:pt>
                <c:pt idx="165">
                  <c:v>2038.0215642674509</c:v>
                </c:pt>
                <c:pt idx="166">
                  <c:v>2038.112369689004</c:v>
                </c:pt>
                <c:pt idx="167">
                  <c:v>2042.5460852833601</c:v>
                </c:pt>
                <c:pt idx="168">
                  <c:v>2053.9180332366755</c:v>
                </c:pt>
                <c:pt idx="169">
                  <c:v>2021.4391142460345</c:v>
                </c:pt>
                <c:pt idx="170">
                  <c:v>2029.1336852448674</c:v>
                </c:pt>
                <c:pt idx="171">
                  <c:v>2021.1620035934686</c:v>
                </c:pt>
                <c:pt idx="172">
                  <c:v>2013.5161282243046</c:v>
                </c:pt>
                <c:pt idx="173">
                  <c:v>2036.7854307207315</c:v>
                </c:pt>
                <c:pt idx="174">
                  <c:v>2035.6509762993253</c:v>
                </c:pt>
                <c:pt idx="175">
                  <c:v>2032.3460623614671</c:v>
                </c:pt>
                <c:pt idx="176">
                  <c:v>2007.2481402927183</c:v>
                </c:pt>
                <c:pt idx="177">
                  <c:v>1961.2913304591182</c:v>
                </c:pt>
                <c:pt idx="178">
                  <c:v>1950.4728690605493</c:v>
                </c:pt>
                <c:pt idx="179">
                  <c:v>1912.1242522238938</c:v>
                </c:pt>
                <c:pt idx="180">
                  <c:v>1887.3714506510896</c:v>
                </c:pt>
                <c:pt idx="181">
                  <c:v>1892.482109810182</c:v>
                </c:pt>
                <c:pt idx="182">
                  <c:v>1826.2557040215395</c:v>
                </c:pt>
                <c:pt idx="183">
                  <c:v>1763.5907740521413</c:v>
                </c:pt>
                <c:pt idx="184">
                  <c:v>1759.946400848683</c:v>
                </c:pt>
                <c:pt idx="185">
                  <c:v>1748.318259779596</c:v>
                </c:pt>
                <c:pt idx="186">
                  <c:v>1835.4483725795872</c:v>
                </c:pt>
                <c:pt idx="187">
                  <c:v>1805.6421624557493</c:v>
                </c:pt>
                <c:pt idx="188">
                  <c:v>1757.1635015552095</c:v>
                </c:pt>
                <c:pt idx="189">
                  <c:v>1700.1158041592607</c:v>
                </c:pt>
                <c:pt idx="190">
                  <c:v>1805.9532588682318</c:v>
                </c:pt>
                <c:pt idx="191">
                  <c:v>1798.2273075925034</c:v>
                </c:pt>
                <c:pt idx="192">
                  <c:v>1857.1788779443325</c:v>
                </c:pt>
                <c:pt idx="193">
                  <c:v>1832.2435284501196</c:v>
                </c:pt>
                <c:pt idx="194">
                  <c:v>1869.8442980134889</c:v>
                </c:pt>
                <c:pt idx="195">
                  <c:v>1887.2279380672749</c:v>
                </c:pt>
                <c:pt idx="196">
                  <c:v>1886.2020469431827</c:v>
                </c:pt>
                <c:pt idx="197">
                  <c:v>1910.5604437644056</c:v>
                </c:pt>
                <c:pt idx="198">
                  <c:v>1940.7811086182455</c:v>
                </c:pt>
                <c:pt idx="199">
                  <c:v>1937.8672478392939</c:v>
                </c:pt>
                <c:pt idx="200">
                  <c:v>1923.8658078310416</c:v>
                </c:pt>
                <c:pt idx="201">
                  <c:v>1947.590608906236</c:v>
                </c:pt>
                <c:pt idx="202">
                  <c:v>1965.3271500624312</c:v>
                </c:pt>
                <c:pt idx="203">
                  <c:v>1992.3384346078324</c:v>
                </c:pt>
                <c:pt idx="204">
                  <c:v>1999.1383362116608</c:v>
                </c:pt>
                <c:pt idx="205">
                  <c:v>2000.6416587166286</c:v>
                </c:pt>
                <c:pt idx="206">
                  <c:v>1999.902542279229</c:v>
                </c:pt>
                <c:pt idx="207">
                  <c:v>1988.4868416185116</c:v>
                </c:pt>
                <c:pt idx="208">
                  <c:v>1997.2820393605175</c:v>
                </c:pt>
                <c:pt idx="209">
                  <c:v>2003.3221826909139</c:v>
                </c:pt>
                <c:pt idx="210">
                  <c:v>2032.8484619672754</c:v>
                </c:pt>
                <c:pt idx="211">
                  <c:v>2039.6598722358435</c:v>
                </c:pt>
                <c:pt idx="212">
                  <c:v>2054.6880406760715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D-4DE4-8774-B2F229F6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7967"/>
        <c:axId val="1601403647"/>
      </c:lineChart>
      <c:dateAx>
        <c:axId val="16014079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1403647"/>
        <c:crosses val="autoZero"/>
        <c:auto val="1"/>
        <c:lblOffset val="100"/>
        <c:baseTimeUnit val="months"/>
      </c:dateAx>
      <c:valAx>
        <c:axId val="160140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140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274320</xdr:colOff>
      <xdr:row>216</xdr:row>
      <xdr:rowOff>49530</xdr:rowOff>
    </xdr:from>
    <xdr:to>
      <xdr:col>21</xdr:col>
      <xdr:colOff>114300</xdr:colOff>
      <xdr:row>237</xdr:row>
      <xdr:rowOff>30480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0C6310A-206B-BFA3-40DA-FC685A4D9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8C55-FDE7-48AB-AC4C-9426FF8F9394}">
  <dimension ref="A1:K240"/>
  <sheetViews>
    <sheetView tabSelected="1" topLeftCell="A206" workbookViewId="0">
      <selection activeCell="J3" sqref="J3:J215"/>
    </sheetView>
  </sheetViews>
  <sheetFormatPr defaultRowHeight="14.4" x14ac:dyDescent="0.3"/>
  <cols>
    <col min="1" max="1" width="10.109375" bestFit="1" customWidth="1"/>
    <col min="2" max="2" width="13" bestFit="1" customWidth="1"/>
    <col min="3" max="3" width="13" customWidth="1"/>
  </cols>
  <sheetData>
    <row r="1" spans="1:11" x14ac:dyDescent="0.3">
      <c r="A1" t="s">
        <v>0</v>
      </c>
      <c r="B1" t="s">
        <v>9</v>
      </c>
      <c r="C1" t="s">
        <v>4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11</v>
      </c>
      <c r="K1" t="s">
        <v>12</v>
      </c>
    </row>
    <row r="2" spans="1:11" x14ac:dyDescent="0.3">
      <c r="A2" s="1">
        <v>39082</v>
      </c>
      <c r="B2">
        <v>1000</v>
      </c>
      <c r="D2">
        <v>5.2229999999999999</v>
      </c>
      <c r="F2">
        <v>1000</v>
      </c>
      <c r="G2" s="6">
        <v>4.51</v>
      </c>
      <c r="I2">
        <v>1000</v>
      </c>
      <c r="K2">
        <v>1000</v>
      </c>
    </row>
    <row r="3" spans="1:11" x14ac:dyDescent="0.3">
      <c r="A3" s="1">
        <v>39113</v>
      </c>
      <c r="B3">
        <v>1006.26</v>
      </c>
      <c r="C3" s="2">
        <f>B3/B2-1</f>
        <v>6.2599999999999323E-3</v>
      </c>
      <c r="D3">
        <v>5.16</v>
      </c>
      <c r="E3" s="2">
        <f t="shared" ref="E3:E66" si="0">D2/1200+((D2/D3)*(1-(1+D3/200)^(-2*(10-(1/12))))+(1+D3/200)^(-2*(10-(1/12)))-1)</f>
        <v>9.1949708383845148E-3</v>
      </c>
      <c r="F3" s="3">
        <f t="shared" ref="F3:F66" si="1">F2*(1+E3)</f>
        <v>1009.1949708383845</v>
      </c>
      <c r="G3" s="7">
        <v>4.4400000000000004</v>
      </c>
      <c r="H3" s="8">
        <f>I232*E3+(1-I232)*G3/1200</f>
        <v>6.4474854191922575E-3</v>
      </c>
      <c r="I3">
        <f>(1+H3)*I2</f>
        <v>1006.4474854191923</v>
      </c>
      <c r="J3" s="2">
        <f>$J$236+E3*$I$236</f>
        <v>5.924663998340656E-3</v>
      </c>
      <c r="K3" s="9">
        <f>K2*(1+J3)</f>
        <v>1005.9246639983405</v>
      </c>
    </row>
    <row r="4" spans="1:11" x14ac:dyDescent="0.3">
      <c r="A4" s="1">
        <v>39141</v>
      </c>
      <c r="B4">
        <v>1006.41</v>
      </c>
      <c r="C4" s="2">
        <f t="shared" ref="C4:C67" si="2">B4/B3-1</f>
        <v>1.4906684157178773E-4</v>
      </c>
      <c r="D4">
        <v>5.2240000000000002</v>
      </c>
      <c r="E4" s="2">
        <f t="shared" si="0"/>
        <v>-6.046547720221767E-4</v>
      </c>
      <c r="F4" s="3">
        <f t="shared" si="1"/>
        <v>1008.5847562833662</v>
      </c>
      <c r="G4" s="6">
        <v>4.57</v>
      </c>
      <c r="H4" s="8">
        <f t="shared" ref="H4:H67" si="3">I233*E4+(1-I233)*G4/1200</f>
        <v>3.8083333333333337E-3</v>
      </c>
      <c r="I4">
        <f t="shared" ref="I4:I67" si="4">(1+H4)*I3</f>
        <v>1010.2803729261637</v>
      </c>
      <c r="J4" s="2">
        <f t="shared" ref="J4:J67" si="5">$J$236+E4*$I$236</f>
        <v>1.4795548874965568E-3</v>
      </c>
      <c r="K4" s="9">
        <f t="shared" ref="K4:K67" si="6">K3*(1+J4)</f>
        <v>1007.4129847514126</v>
      </c>
    </row>
    <row r="5" spans="1:11" x14ac:dyDescent="0.3">
      <c r="A5" s="1">
        <v>39172</v>
      </c>
      <c r="B5">
        <v>1011.55</v>
      </c>
      <c r="C5" s="2">
        <f t="shared" si="2"/>
        <v>5.1072624477102035E-3</v>
      </c>
      <c r="D5">
        <v>5.2089999999999996</v>
      </c>
      <c r="E5" s="2">
        <f t="shared" si="0"/>
        <v>5.503666886842575E-3</v>
      </c>
      <c r="F5" s="3">
        <f t="shared" si="1"/>
        <v>1014.1356708090973</v>
      </c>
      <c r="G5" s="7">
        <v>4.63</v>
      </c>
      <c r="H5" s="8">
        <f t="shared" si="3"/>
        <v>3.8583333333333334E-3</v>
      </c>
      <c r="I5">
        <f t="shared" si="4"/>
        <v>1014.1783713650372</v>
      </c>
      <c r="J5" s="2">
        <f t="shared" si="5"/>
        <v>4.2502889274737441E-3</v>
      </c>
      <c r="K5" s="9">
        <f t="shared" si="6"/>
        <v>1011.6947810058949</v>
      </c>
    </row>
    <row r="6" spans="1:11" x14ac:dyDescent="0.3">
      <c r="A6" s="1">
        <v>39202</v>
      </c>
      <c r="B6">
        <v>1012.25</v>
      </c>
      <c r="C6" s="2">
        <f t="shared" si="2"/>
        <v>6.9200731550589367E-4</v>
      </c>
      <c r="D6">
        <v>5.327</v>
      </c>
      <c r="E6" s="2">
        <f t="shared" si="0"/>
        <v>-4.6588085304988423E-3</v>
      </c>
      <c r="F6" s="3">
        <f t="shared" si="1"/>
        <v>1009.4110068948487</v>
      </c>
      <c r="G6" s="6">
        <v>4.75</v>
      </c>
      <c r="H6" s="8">
        <f t="shared" si="3"/>
        <v>3.9583333333333337E-3</v>
      </c>
      <c r="I6">
        <f t="shared" si="4"/>
        <v>1018.1928274183571</v>
      </c>
      <c r="J6" s="2">
        <f t="shared" si="5"/>
        <v>-3.5940881632391783E-4</v>
      </c>
      <c r="K6" s="9">
        <f t="shared" si="6"/>
        <v>1011.3311689821725</v>
      </c>
    </row>
    <row r="7" spans="1:11" x14ac:dyDescent="0.3">
      <c r="A7" s="1">
        <v>39233</v>
      </c>
      <c r="B7">
        <v>1015.92</v>
      </c>
      <c r="C7" s="2">
        <f t="shared" si="2"/>
        <v>3.6255865645837826E-3</v>
      </c>
      <c r="D7">
        <v>5.327</v>
      </c>
      <c r="E7" s="2">
        <f t="shared" si="0"/>
        <v>4.4391666666666668E-3</v>
      </c>
      <c r="F7" s="3">
        <f t="shared" si="1"/>
        <v>1013.8919505896229</v>
      </c>
      <c r="G7" s="7">
        <v>4.82</v>
      </c>
      <c r="H7" s="8">
        <f t="shared" si="3"/>
        <v>4.2083126207056896E-3</v>
      </c>
      <c r="I7">
        <f t="shared" si="4"/>
        <v>1022.4777011442939</v>
      </c>
      <c r="J7" s="2">
        <f t="shared" si="5"/>
        <v>3.7674317434018825E-3</v>
      </c>
      <c r="K7" s="9">
        <f t="shared" si="6"/>
        <v>1015.1412901312875</v>
      </c>
    </row>
    <row r="8" spans="1:11" x14ac:dyDescent="0.3">
      <c r="A8" s="1">
        <v>39263</v>
      </c>
      <c r="B8">
        <v>1007.31</v>
      </c>
      <c r="C8" s="2">
        <f t="shared" si="2"/>
        <v>-8.4750767776990976E-3</v>
      </c>
      <c r="D8">
        <v>5.641</v>
      </c>
      <c r="E8" s="2">
        <f t="shared" si="0"/>
        <v>-1.9162575435154865E-2</v>
      </c>
      <c r="F8" s="3">
        <f t="shared" si="1"/>
        <v>994.46316960335287</v>
      </c>
      <c r="G8" s="6">
        <v>5.14</v>
      </c>
      <c r="H8" s="8">
        <f t="shared" si="3"/>
        <v>4.0559754586356224E-3</v>
      </c>
      <c r="I8">
        <f t="shared" si="4"/>
        <v>1026.6248456071373</v>
      </c>
      <c r="J8" s="2">
        <f t="shared" si="5"/>
        <v>-6.938315906507132E-3</v>
      </c>
      <c r="K8" s="9">
        <f t="shared" si="6"/>
        <v>1008.0979191706174</v>
      </c>
    </row>
    <row r="9" spans="1:11" x14ac:dyDescent="0.3">
      <c r="A9" s="1">
        <v>39294</v>
      </c>
      <c r="B9">
        <v>1012.06</v>
      </c>
      <c r="C9" s="2">
        <f t="shared" si="2"/>
        <v>4.7155294795047098E-3</v>
      </c>
      <c r="D9">
        <v>5.5990000000000002</v>
      </c>
      <c r="E9" s="2">
        <f t="shared" si="0"/>
        <v>7.8638958743748183E-3</v>
      </c>
      <c r="F9" s="3">
        <f t="shared" si="1"/>
        <v>1002.2835244200144</v>
      </c>
      <c r="G9" s="7">
        <v>5.26</v>
      </c>
      <c r="H9" s="8">
        <f t="shared" si="3"/>
        <v>7.5577770328282921E-3</v>
      </c>
      <c r="I9">
        <f t="shared" si="4"/>
        <v>1034.383847286598</v>
      </c>
      <c r="J9" s="2">
        <f t="shared" si="5"/>
        <v>5.3208885394646875E-3</v>
      </c>
      <c r="K9" s="9">
        <f t="shared" si="6"/>
        <v>1013.4618958353905</v>
      </c>
    </row>
    <row r="10" spans="1:11" x14ac:dyDescent="0.3">
      <c r="A10" s="1">
        <v>39325</v>
      </c>
      <c r="B10">
        <v>1011.1</v>
      </c>
      <c r="C10" s="2">
        <f t="shared" si="2"/>
        <v>-9.4856036203383454E-4</v>
      </c>
      <c r="D10">
        <v>5.7889999999999997</v>
      </c>
      <c r="E10" s="2">
        <f t="shared" si="0"/>
        <v>-9.5181975891925133E-3</v>
      </c>
      <c r="F10" s="3">
        <f t="shared" si="1"/>
        <v>992.74359179419241</v>
      </c>
      <c r="G10" s="6">
        <v>5.47</v>
      </c>
      <c r="H10" s="8">
        <f t="shared" si="3"/>
        <v>-30.7957923925267</v>
      </c>
      <c r="I10">
        <f t="shared" si="4"/>
        <v>-30820.286367934517</v>
      </c>
      <c r="J10" s="2">
        <f t="shared" si="5"/>
        <v>-2.5636271647266106E-3</v>
      </c>
      <c r="K10" s="9">
        <f t="shared" si="6"/>
        <v>1010.8637573888116</v>
      </c>
    </row>
    <row r="11" spans="1:11" x14ac:dyDescent="0.3">
      <c r="A11" s="1">
        <v>39355</v>
      </c>
      <c r="B11">
        <v>1018.12</v>
      </c>
      <c r="C11" s="2">
        <f t="shared" si="2"/>
        <v>6.9429334388289021E-3</v>
      </c>
      <c r="D11">
        <v>5.7</v>
      </c>
      <c r="E11" s="2">
        <f t="shared" si="0"/>
        <v>1.1495612577469044E-2</v>
      </c>
      <c r="F11" s="3">
        <f t="shared" si="1"/>
        <v>1004.1557875142234</v>
      </c>
      <c r="G11" s="7">
        <v>5.45</v>
      </c>
      <c r="H11" s="8">
        <f t="shared" si="3"/>
        <v>4.7434304361404292E-3</v>
      </c>
      <c r="I11">
        <f t="shared" si="4"/>
        <v>-30966.480252342742</v>
      </c>
      <c r="J11" s="2">
        <f t="shared" si="5"/>
        <v>6.9682348409178183E-3</v>
      </c>
      <c r="K11" s="9">
        <f t="shared" si="6"/>
        <v>1017.9076934424695</v>
      </c>
    </row>
    <row r="12" spans="1:11" x14ac:dyDescent="0.3">
      <c r="A12" s="1">
        <v>39386</v>
      </c>
      <c r="B12">
        <v>1024.76</v>
      </c>
      <c r="C12" s="2">
        <f t="shared" si="2"/>
        <v>6.5218245393470209E-3</v>
      </c>
      <c r="D12">
        <v>5.5140000000000002</v>
      </c>
      <c r="E12" s="2">
        <f t="shared" si="0"/>
        <v>1.8813130178616935E-2</v>
      </c>
      <c r="F12" s="3">
        <f t="shared" si="1"/>
        <v>1023.0471010643402</v>
      </c>
      <c r="G12" s="6">
        <v>5.56</v>
      </c>
      <c r="H12" s="8">
        <f t="shared" si="3"/>
        <v>4.6333333333333331E-3</v>
      </c>
      <c r="I12">
        <f t="shared" si="4"/>
        <v>-31109.958277511927</v>
      </c>
      <c r="J12" s="2">
        <f t="shared" si="5"/>
        <v>1.0287460028774219E-2</v>
      </c>
      <c r="K12" s="9">
        <f t="shared" si="6"/>
        <v>1028.3793781517406</v>
      </c>
    </row>
    <row r="13" spans="1:11" x14ac:dyDescent="0.3">
      <c r="A13" s="1">
        <v>39416</v>
      </c>
      <c r="B13">
        <v>1015.5</v>
      </c>
      <c r="C13" s="2">
        <f t="shared" si="2"/>
        <v>-9.0362621491861805E-3</v>
      </c>
      <c r="D13">
        <v>5.7770000000000001</v>
      </c>
      <c r="E13" s="2">
        <f t="shared" si="0"/>
        <v>-1.5049552697666295E-2</v>
      </c>
      <c r="F13" s="3">
        <f t="shared" si="1"/>
        <v>1007.6506998046776</v>
      </c>
      <c r="G13" s="7">
        <v>6.03</v>
      </c>
      <c r="H13" s="8">
        <f t="shared" si="3"/>
        <v>5.025E-3</v>
      </c>
      <c r="I13">
        <f t="shared" si="4"/>
        <v>-31266.285817856427</v>
      </c>
      <c r="J13" s="2">
        <f t="shared" si="5"/>
        <v>-5.0726492402108246E-3</v>
      </c>
      <c r="K13" s="9">
        <f t="shared" si="6"/>
        <v>1023.1627702805108</v>
      </c>
    </row>
    <row r="14" spans="1:11" x14ac:dyDescent="0.3">
      <c r="A14" s="1">
        <v>39447</v>
      </c>
      <c r="B14">
        <v>1016.53</v>
      </c>
      <c r="C14" s="2">
        <f t="shared" si="2"/>
        <v>1.0142786804530068E-3</v>
      </c>
      <c r="D14">
        <v>5.9160000000000004</v>
      </c>
      <c r="E14" s="2">
        <f t="shared" si="0"/>
        <v>-5.5020670192010923E-3</v>
      </c>
      <c r="F14" s="3">
        <f t="shared" si="1"/>
        <v>1002.1065381224074</v>
      </c>
      <c r="G14" s="6">
        <v>6.2</v>
      </c>
      <c r="H14" s="8">
        <f t="shared" si="3"/>
        <v>5.1666666666666666E-3</v>
      </c>
      <c r="I14">
        <f t="shared" si="4"/>
        <v>-31427.828294582021</v>
      </c>
      <c r="J14" s="2">
        <f t="shared" si="5"/>
        <v>-7.4191077506675159E-4</v>
      </c>
      <c r="K14" s="9">
        <f t="shared" si="6"/>
        <v>1022.4036747965926</v>
      </c>
    </row>
    <row r="15" spans="1:11" x14ac:dyDescent="0.3">
      <c r="A15" s="1">
        <v>39478</v>
      </c>
      <c r="B15">
        <v>1033.3900000000001</v>
      </c>
      <c r="C15" s="2">
        <f t="shared" si="2"/>
        <v>1.6585836128791165E-2</v>
      </c>
      <c r="D15">
        <v>5.6879999999999997</v>
      </c>
      <c r="E15" s="2">
        <f t="shared" si="0"/>
        <v>2.2030373411815362E-2</v>
      </c>
      <c r="F15" s="3">
        <f t="shared" si="1"/>
        <v>1024.1833193556658</v>
      </c>
      <c r="G15" s="7">
        <v>6.01</v>
      </c>
      <c r="H15" s="8">
        <f t="shared" si="3"/>
        <v>5.0083333333333334E-3</v>
      </c>
      <c r="I15">
        <f t="shared" si="4"/>
        <v>-31585.229334624051</v>
      </c>
      <c r="J15" s="2">
        <f t="shared" si="5"/>
        <v>1.1746801209370439E-2</v>
      </c>
      <c r="K15" s="9">
        <f t="shared" si="6"/>
        <v>1034.4136475201578</v>
      </c>
    </row>
    <row r="16" spans="1:11" x14ac:dyDescent="0.3">
      <c r="A16" s="1">
        <v>39507</v>
      </c>
      <c r="B16">
        <v>1023.61</v>
      </c>
      <c r="C16" s="2">
        <f t="shared" si="2"/>
        <v>-9.4639971356410557E-3</v>
      </c>
      <c r="D16">
        <v>5.9729999999999999</v>
      </c>
      <c r="E16" s="2">
        <f t="shared" si="0"/>
        <v>-1.6356655134676178E-2</v>
      </c>
      <c r="F16" s="3">
        <f t="shared" si="1"/>
        <v>1007.4311060062772</v>
      </c>
      <c r="G16" s="6">
        <v>6.37</v>
      </c>
      <c r="H16" s="8">
        <f t="shared" si="3"/>
        <v>5.3083333333333333E-3</v>
      </c>
      <c r="I16">
        <f t="shared" si="4"/>
        <v>-31752.894260342011</v>
      </c>
      <c r="J16" s="2">
        <f t="shared" si="5"/>
        <v>-5.6655507634474885E-3</v>
      </c>
      <c r="K16" s="9">
        <f t="shared" si="6"/>
        <v>1028.5531244897295</v>
      </c>
    </row>
    <row r="17" spans="1:11" x14ac:dyDescent="0.3">
      <c r="A17" s="1">
        <v>39538</v>
      </c>
      <c r="B17">
        <v>1028.44</v>
      </c>
      <c r="C17" s="2">
        <f t="shared" si="2"/>
        <v>4.7185939957601342E-3</v>
      </c>
      <c r="D17">
        <v>5.9710000000000001</v>
      </c>
      <c r="E17" s="2">
        <f t="shared" si="0"/>
        <v>5.1255603025638684E-3</v>
      </c>
      <c r="F17" s="3">
        <f t="shared" si="1"/>
        <v>1012.5947548907911</v>
      </c>
      <c r="G17" s="7">
        <v>6.6</v>
      </c>
      <c r="H17" s="8">
        <f t="shared" si="3"/>
        <v>5.4999999999999997E-3</v>
      </c>
      <c r="I17">
        <f t="shared" si="4"/>
        <v>-31927.535178773895</v>
      </c>
      <c r="J17" s="2">
        <f t="shared" si="5"/>
        <v>4.0787798219766346E-3</v>
      </c>
      <c r="K17" s="9">
        <f t="shared" si="6"/>
        <v>1032.7483662197292</v>
      </c>
    </row>
    <row r="18" spans="1:11" x14ac:dyDescent="0.3">
      <c r="A18" s="1">
        <v>39568</v>
      </c>
      <c r="B18">
        <v>1035.2</v>
      </c>
      <c r="C18" s="2">
        <f t="shared" si="2"/>
        <v>6.5730621134922895E-3</v>
      </c>
      <c r="D18">
        <v>5.9809999999999999</v>
      </c>
      <c r="E18" s="2">
        <f t="shared" si="0"/>
        <v>4.2358717256421466E-3</v>
      </c>
      <c r="F18" s="3">
        <f t="shared" si="1"/>
        <v>1016.8839763825665</v>
      </c>
      <c r="G18" s="6">
        <v>6.64</v>
      </c>
      <c r="H18" s="8">
        <f t="shared" si="3"/>
        <v>5.5333333333333328E-3</v>
      </c>
      <c r="I18">
        <f t="shared" si="4"/>
        <v>-32104.200873429778</v>
      </c>
      <c r="J18" s="2">
        <f t="shared" si="5"/>
        <v>3.6752171802682705E-3</v>
      </c>
      <c r="K18" s="9">
        <f t="shared" si="6"/>
        <v>1036.5439407581539</v>
      </c>
    </row>
    <row r="19" spans="1:11" x14ac:dyDescent="0.3">
      <c r="A19" s="1">
        <v>39599</v>
      </c>
      <c r="B19">
        <v>1028.99</v>
      </c>
      <c r="C19" s="2">
        <f t="shared" si="2"/>
        <v>-5.9988408037094931E-3</v>
      </c>
      <c r="D19">
        <v>6.2919999999999998</v>
      </c>
      <c r="E19" s="2">
        <f t="shared" si="0"/>
        <v>-1.7703399716115689E-2</v>
      </c>
      <c r="F19" s="3">
        <f t="shared" si="1"/>
        <v>998.8816728837528</v>
      </c>
      <c r="G19" s="7">
        <v>6.7</v>
      </c>
      <c r="H19" s="8">
        <f t="shared" si="3"/>
        <v>5.5833333333333334E-3</v>
      </c>
      <c r="I19">
        <f t="shared" si="4"/>
        <v>-32283.449328306426</v>
      </c>
      <c r="J19" s="2">
        <f t="shared" si="5"/>
        <v>-6.2764339590850263E-3</v>
      </c>
      <c r="K19" s="9">
        <f t="shared" si="6"/>
        <v>1030.0381411682956</v>
      </c>
    </row>
    <row r="20" spans="1:11" x14ac:dyDescent="0.3">
      <c r="A20" s="1">
        <v>39629</v>
      </c>
      <c r="B20">
        <v>1020.31</v>
      </c>
      <c r="C20" s="2">
        <f t="shared" si="2"/>
        <v>-8.4354561268817907E-3</v>
      </c>
      <c r="D20">
        <v>6.6280000000000001</v>
      </c>
      <c r="E20" s="2">
        <f t="shared" si="0"/>
        <v>-1.8896498731660594E-2</v>
      </c>
      <c r="F20" s="3">
        <f t="shared" si="1"/>
        <v>980.00630661902596</v>
      </c>
      <c r="G20" s="6">
        <v>6.91</v>
      </c>
      <c r="H20" s="8">
        <f t="shared" si="3"/>
        <v>5.7583333333333332E-3</v>
      </c>
      <c r="I20">
        <f t="shared" si="4"/>
        <v>-32469.34819068859</v>
      </c>
      <c r="J20" s="2">
        <f t="shared" si="5"/>
        <v>-6.8176235427468545E-3</v>
      </c>
      <c r="K20" s="9">
        <f t="shared" si="6"/>
        <v>1023.0157288871394</v>
      </c>
    </row>
    <row r="21" spans="1:11" x14ac:dyDescent="0.3">
      <c r="A21" s="1">
        <v>39660</v>
      </c>
      <c r="B21">
        <v>1040.1500000000001</v>
      </c>
      <c r="C21" s="2">
        <f t="shared" si="2"/>
        <v>1.9445070615793369E-2</v>
      </c>
      <c r="D21">
        <v>6.2709999999999999</v>
      </c>
      <c r="E21" s="2">
        <f t="shared" si="0"/>
        <v>3.1591582260865676E-2</v>
      </c>
      <c r="F21" s="3">
        <f t="shared" si="1"/>
        <v>1010.966256470748</v>
      </c>
      <c r="G21" s="7">
        <v>6.81</v>
      </c>
      <c r="H21" s="8">
        <f t="shared" si="3"/>
        <v>5.6749999999999995E-3</v>
      </c>
      <c r="I21">
        <f t="shared" si="4"/>
        <v>-32653.611741670749</v>
      </c>
      <c r="J21" s="2">
        <f t="shared" si="5"/>
        <v>1.6083764503199063E-2</v>
      </c>
      <c r="K21" s="9">
        <f t="shared" si="6"/>
        <v>1039.4696729536286</v>
      </c>
    </row>
    <row r="22" spans="1:11" x14ac:dyDescent="0.3">
      <c r="A22" s="1">
        <v>39691</v>
      </c>
      <c r="B22">
        <v>1051.07</v>
      </c>
      <c r="C22" s="2">
        <f t="shared" si="2"/>
        <v>1.0498485795317869E-2</v>
      </c>
      <c r="D22">
        <v>6.069</v>
      </c>
      <c r="E22" s="2">
        <f t="shared" si="0"/>
        <v>2.0112834963030915E-2</v>
      </c>
      <c r="F22" s="3">
        <f t="shared" si="1"/>
        <v>1031.2996539403373</v>
      </c>
      <c r="G22" s="6">
        <v>6.65</v>
      </c>
      <c r="H22" s="8">
        <f t="shared" si="3"/>
        <v>5.541666666666667E-3</v>
      </c>
      <c r="I22">
        <f t="shared" si="4"/>
        <v>-32834.567173405841</v>
      </c>
      <c r="J22" s="2">
        <f t="shared" si="5"/>
        <v>1.0877005977598123E-2</v>
      </c>
      <c r="K22" s="9">
        <f t="shared" si="6"/>
        <v>1050.7759907998773</v>
      </c>
    </row>
    <row r="23" spans="1:11" x14ac:dyDescent="0.3">
      <c r="A23" s="1">
        <v>39721</v>
      </c>
      <c r="B23">
        <v>1064.43</v>
      </c>
      <c r="C23" s="2">
        <f t="shared" si="2"/>
        <v>1.2710856555700589E-2</v>
      </c>
      <c r="D23">
        <v>5.8730000000000002</v>
      </c>
      <c r="E23" s="2">
        <f t="shared" si="0"/>
        <v>1.9632936483007742E-2</v>
      </c>
      <c r="F23" s="3">
        <f t="shared" si="1"/>
        <v>1051.5470945410957</v>
      </c>
      <c r="G23" s="7">
        <v>6.69</v>
      </c>
      <c r="H23" s="8">
        <f t="shared" si="3"/>
        <v>5.5750000000000001E-3</v>
      </c>
      <c r="I23">
        <f t="shared" si="4"/>
        <v>-33017.61988539758</v>
      </c>
      <c r="J23" s="2">
        <f t="shared" si="5"/>
        <v>1.0659324079264589E-2</v>
      </c>
      <c r="K23" s="9">
        <f t="shared" si="6"/>
        <v>1061.9765526205233</v>
      </c>
    </row>
    <row r="24" spans="1:11" x14ac:dyDescent="0.3">
      <c r="A24" s="1">
        <v>39752</v>
      </c>
      <c r="B24">
        <v>1040.92</v>
      </c>
      <c r="C24" s="2">
        <f t="shared" si="2"/>
        <v>-2.2086938549270463E-2</v>
      </c>
      <c r="D24">
        <v>6.6230000000000002</v>
      </c>
      <c r="E24" s="2">
        <f t="shared" si="0"/>
        <v>-4.9001590827063325E-2</v>
      </c>
      <c r="F24" s="3">
        <f t="shared" si="1"/>
        <v>1000.0196140790056</v>
      </c>
      <c r="G24" s="6">
        <v>6.91</v>
      </c>
      <c r="H24" s="8">
        <f t="shared" si="3"/>
        <v>5.7583333333333332E-3</v>
      </c>
      <c r="I24">
        <f t="shared" si="4"/>
        <v>-33207.746346570995</v>
      </c>
      <c r="J24" s="2">
        <f t="shared" si="5"/>
        <v>-2.0473290042287921E-2</v>
      </c>
      <c r="K24" s="9">
        <f t="shared" si="6"/>
        <v>1040.2343986406142</v>
      </c>
    </row>
    <row r="25" spans="1:11" x14ac:dyDescent="0.3">
      <c r="A25" s="1">
        <v>39782</v>
      </c>
      <c r="B25">
        <v>1081</v>
      </c>
      <c r="C25" s="2">
        <f t="shared" si="2"/>
        <v>3.850439995388677E-2</v>
      </c>
      <c r="D25">
        <v>5.9050000000000002</v>
      </c>
      <c r="E25" s="2">
        <f t="shared" si="0"/>
        <v>5.8834302114066629E-2</v>
      </c>
      <c r="F25" s="3">
        <f t="shared" si="1"/>
        <v>1058.8550701737222</v>
      </c>
      <c r="G25" s="7">
        <v>6.66</v>
      </c>
      <c r="H25" s="8">
        <f t="shared" si="3"/>
        <v>5.5500000000000002E-3</v>
      </c>
      <c r="I25">
        <f t="shared" si="4"/>
        <v>-33392.049338794459</v>
      </c>
      <c r="J25" s="2">
        <f t="shared" si="5"/>
        <v>2.8441059265055926E-2</v>
      </c>
      <c r="K25" s="9">
        <f t="shared" si="6"/>
        <v>1069.8197668219018</v>
      </c>
    </row>
    <row r="26" spans="1:11" x14ac:dyDescent="0.3">
      <c r="A26" s="1">
        <v>39813</v>
      </c>
      <c r="B26">
        <v>1108.83</v>
      </c>
      <c r="C26" s="2">
        <f t="shared" si="2"/>
        <v>2.5744680851063739E-2</v>
      </c>
      <c r="D26">
        <v>5.3869999999999996</v>
      </c>
      <c r="E26" s="2">
        <f t="shared" si="0"/>
        <v>4.4317581654362684E-2</v>
      </c>
      <c r="F26" s="3">
        <f t="shared" si="1"/>
        <v>1105.7809662062821</v>
      </c>
      <c r="G26" s="6">
        <v>5.98</v>
      </c>
      <c r="H26" s="8">
        <f t="shared" si="3"/>
        <v>4.9833333333333335E-3</v>
      </c>
      <c r="I26">
        <f t="shared" si="4"/>
        <v>-33558.453051332785</v>
      </c>
      <c r="J26" s="2">
        <f t="shared" si="5"/>
        <v>2.1856276443712103E-2</v>
      </c>
      <c r="K26" s="9">
        <f t="shared" si="6"/>
        <v>1093.2020433905088</v>
      </c>
    </row>
    <row r="27" spans="1:11" x14ac:dyDescent="0.3">
      <c r="A27" s="1">
        <v>39844</v>
      </c>
      <c r="B27">
        <v>1114.97</v>
      </c>
      <c r="C27" s="2">
        <f t="shared" si="2"/>
        <v>5.5373682169495009E-3</v>
      </c>
      <c r="D27">
        <v>5.7549999999999999</v>
      </c>
      <c r="E27" s="2">
        <f t="shared" si="0"/>
        <v>-2.3026179119945301E-2</v>
      </c>
      <c r="F27" s="3">
        <f t="shared" si="1"/>
        <v>1080.3190556109901</v>
      </c>
      <c r="G27" s="7">
        <v>4.9400000000000004</v>
      </c>
      <c r="H27" s="8">
        <f t="shared" si="3"/>
        <v>4.1166666666666669E-3</v>
      </c>
      <c r="I27">
        <f t="shared" si="4"/>
        <v>-33696.602016394107</v>
      </c>
      <c r="J27" s="2">
        <f t="shared" si="5"/>
        <v>-8.6908461176322151E-3</v>
      </c>
      <c r="K27" s="9">
        <f t="shared" si="6"/>
        <v>1083.7011926559207</v>
      </c>
    </row>
    <row r="28" spans="1:11" x14ac:dyDescent="0.3">
      <c r="A28" s="1">
        <v>39872</v>
      </c>
      <c r="B28">
        <v>1090.25</v>
      </c>
      <c r="C28" s="2">
        <f t="shared" si="2"/>
        <v>-2.2171000116595119E-2</v>
      </c>
      <c r="D28">
        <v>6.1740000000000004</v>
      </c>
      <c r="E28" s="2">
        <f t="shared" si="0"/>
        <v>-2.593555401358616E-2</v>
      </c>
      <c r="F28" s="3">
        <f t="shared" si="1"/>
        <v>1052.3003823922847</v>
      </c>
      <c r="G28" s="6">
        <v>4.57</v>
      </c>
      <c r="H28" s="8">
        <f t="shared" si="3"/>
        <v>3.8083333333333337E-3</v>
      </c>
      <c r="I28">
        <f t="shared" si="4"/>
        <v>-33824.929909073209</v>
      </c>
      <c r="J28" s="2">
        <f t="shared" si="5"/>
        <v>-1.0010538252896078E-2</v>
      </c>
      <c r="K28" s="9">
        <f t="shared" si="6"/>
        <v>1072.8527604121296</v>
      </c>
    </row>
    <row r="29" spans="1:11" x14ac:dyDescent="0.3">
      <c r="A29" s="1">
        <v>39903</v>
      </c>
      <c r="B29">
        <v>1095.92</v>
      </c>
      <c r="C29" s="2">
        <f t="shared" si="2"/>
        <v>5.2006420545747112E-3</v>
      </c>
      <c r="D29">
        <v>6.2969999999999997</v>
      </c>
      <c r="E29" s="2">
        <f t="shared" si="0"/>
        <v>-3.8258498360079322E-3</v>
      </c>
      <c r="F29" s="3">
        <f t="shared" si="1"/>
        <v>1048.2744391468782</v>
      </c>
      <c r="G29" s="7">
        <v>4.3099999999999996</v>
      </c>
      <c r="H29" s="8">
        <f t="shared" si="3"/>
        <v>3.5916666666666662E-3</v>
      </c>
      <c r="I29">
        <f t="shared" si="4"/>
        <v>-33946.417782329961</v>
      </c>
      <c r="J29" s="2">
        <f t="shared" si="5"/>
        <v>1.8421156885098247E-5</v>
      </c>
      <c r="K29" s="9">
        <f t="shared" si="6"/>
        <v>1072.8725236011437</v>
      </c>
    </row>
    <row r="30" spans="1:11" x14ac:dyDescent="0.3">
      <c r="A30" s="1">
        <v>39933</v>
      </c>
      <c r="B30">
        <v>1108.3399999999999</v>
      </c>
      <c r="C30" s="2">
        <f t="shared" si="2"/>
        <v>1.1332944010511659E-2</v>
      </c>
      <c r="D30">
        <v>6.2089999999999996</v>
      </c>
      <c r="E30" s="2">
        <f t="shared" si="0"/>
        <v>1.1691506181902216E-2</v>
      </c>
      <c r="F30" s="3">
        <f t="shared" si="1"/>
        <v>1060.5303462324941</v>
      </c>
      <c r="G30" s="6">
        <v>4.6100000000000003</v>
      </c>
      <c r="H30" s="8">
        <f t="shared" si="3"/>
        <v>3.8416666666666668E-3</v>
      </c>
      <c r="I30">
        <f t="shared" si="4"/>
        <v>-34076.828603977083</v>
      </c>
      <c r="J30" s="2">
        <f t="shared" si="5"/>
        <v>7.057092158578737E-3</v>
      </c>
      <c r="K30" s="9">
        <f t="shared" si="6"/>
        <v>1080.4438838746039</v>
      </c>
    </row>
    <row r="31" spans="1:11" x14ac:dyDescent="0.3">
      <c r="A31" s="1">
        <v>39964</v>
      </c>
      <c r="B31">
        <v>1110.06</v>
      </c>
      <c r="C31" s="2">
        <f t="shared" si="2"/>
        <v>1.5518703646895116E-3</v>
      </c>
      <c r="D31">
        <v>6.3029999999999999</v>
      </c>
      <c r="E31" s="2">
        <f t="shared" si="0"/>
        <v>-1.6797289350768763E-3</v>
      </c>
      <c r="F31" s="3">
        <f t="shared" si="1"/>
        <v>1058.7489427234004</v>
      </c>
      <c r="G31" s="7">
        <v>5.03</v>
      </c>
      <c r="H31" s="8">
        <f t="shared" si="3"/>
        <v>4.1916666666666665E-3</v>
      </c>
      <c r="I31">
        <f t="shared" si="4"/>
        <v>-34219.667310542085</v>
      </c>
      <c r="J31" s="2">
        <f t="shared" si="5"/>
        <v>9.9190136408514409E-4</v>
      </c>
      <c r="K31" s="9">
        <f t="shared" si="6"/>
        <v>1081.5155776368365</v>
      </c>
    </row>
    <row r="32" spans="1:11" x14ac:dyDescent="0.3">
      <c r="A32" s="1">
        <v>39994</v>
      </c>
      <c r="B32">
        <v>1118.02</v>
      </c>
      <c r="C32" s="2">
        <f t="shared" si="2"/>
        <v>7.1707835612488946E-3</v>
      </c>
      <c r="D32">
        <v>6.2690000000000001</v>
      </c>
      <c r="E32" s="2">
        <f t="shared" si="0"/>
        <v>7.7354169914966089E-3</v>
      </c>
      <c r="F32" s="3">
        <f t="shared" si="1"/>
        <v>1066.9388072846723</v>
      </c>
      <c r="G32" s="6">
        <v>4.82</v>
      </c>
      <c r="H32" s="8">
        <f t="shared" si="3"/>
        <v>4.0166666666666666E-3</v>
      </c>
      <c r="I32">
        <f t="shared" si="4"/>
        <v>-34357.11630757276</v>
      </c>
      <c r="J32" s="2">
        <f t="shared" si="5"/>
        <v>5.2626105321674993E-3</v>
      </c>
      <c r="K32" s="9">
        <f t="shared" si="6"/>
        <v>1087.2071729064114</v>
      </c>
    </row>
    <row r="33" spans="1:11" x14ac:dyDescent="0.3">
      <c r="A33" s="1">
        <v>40025</v>
      </c>
      <c r="B33">
        <v>1136.4100000000001</v>
      </c>
      <c r="C33" s="2">
        <f t="shared" si="2"/>
        <v>1.6448721847551973E-2</v>
      </c>
      <c r="D33">
        <v>6.1139999999999999</v>
      </c>
      <c r="E33" s="2">
        <f t="shared" si="0"/>
        <v>1.6623835966626505E-2</v>
      </c>
      <c r="F33" s="3">
        <f t="shared" si="1"/>
        <v>1084.6754230034007</v>
      </c>
      <c r="G33" s="7">
        <v>4.53</v>
      </c>
      <c r="H33" s="8">
        <f t="shared" si="3"/>
        <v>3.7750000000000001E-3</v>
      </c>
      <c r="I33">
        <f t="shared" si="4"/>
        <v>-34486.814421633848</v>
      </c>
      <c r="J33" s="2">
        <f t="shared" si="5"/>
        <v>9.2943964123741781E-3</v>
      </c>
      <c r="K33" s="9">
        <f t="shared" si="6"/>
        <v>1097.3121073537802</v>
      </c>
    </row>
    <row r="34" spans="1:11" x14ac:dyDescent="0.3">
      <c r="A34" s="1">
        <v>40056</v>
      </c>
      <c r="B34">
        <v>1136.1099999999999</v>
      </c>
      <c r="C34" s="2">
        <f t="shared" si="2"/>
        <v>-2.6398922923964729E-4</v>
      </c>
      <c r="D34">
        <v>6.1180000000000003</v>
      </c>
      <c r="E34" s="2">
        <f t="shared" si="0"/>
        <v>4.8008688612621144E-3</v>
      </c>
      <c r="F34" s="3">
        <f t="shared" si="1"/>
        <v>1089.8828074662742</v>
      </c>
      <c r="G34" s="6">
        <v>4.49</v>
      </c>
      <c r="H34" s="8">
        <f t="shared" si="3"/>
        <v>3.741666666666667E-3</v>
      </c>
      <c r="I34">
        <f t="shared" si="4"/>
        <v>-34615.852585594796</v>
      </c>
      <c r="J34" s="2">
        <f t="shared" si="5"/>
        <v>3.9314998195231904E-3</v>
      </c>
      <c r="K34" s="9">
        <f t="shared" si="6"/>
        <v>1101.6261897058023</v>
      </c>
    </row>
    <row r="35" spans="1:11" x14ac:dyDescent="0.3">
      <c r="A35" s="1">
        <v>40086</v>
      </c>
      <c r="B35">
        <v>1137.81</v>
      </c>
      <c r="C35" s="2">
        <f t="shared" si="2"/>
        <v>1.4963339817448684E-3</v>
      </c>
      <c r="D35">
        <v>6.181</v>
      </c>
      <c r="E35" s="2">
        <f t="shared" si="0"/>
        <v>4.7910236616989857E-4</v>
      </c>
      <c r="F35" s="3">
        <f t="shared" si="1"/>
        <v>1090.4049728981793</v>
      </c>
      <c r="G35" s="7">
        <v>4.49</v>
      </c>
      <c r="H35" s="8">
        <f t="shared" si="3"/>
        <v>3.741666666666667E-3</v>
      </c>
      <c r="I35">
        <f t="shared" si="4"/>
        <v>-34745.373567352566</v>
      </c>
      <c r="J35" s="2">
        <f t="shared" si="5"/>
        <v>1.9711470074857199E-3</v>
      </c>
      <c r="K35" s="9">
        <f t="shared" si="6"/>
        <v>1103.7976568730087</v>
      </c>
    </row>
    <row r="36" spans="1:11" x14ac:dyDescent="0.3">
      <c r="A36" s="1">
        <v>40117</v>
      </c>
      <c r="B36">
        <v>1147.3</v>
      </c>
      <c r="C36" s="2">
        <f t="shared" si="2"/>
        <v>8.3405841045516294E-3</v>
      </c>
      <c r="D36">
        <v>6.1470000000000002</v>
      </c>
      <c r="E36" s="2">
        <f t="shared" si="0"/>
        <v>7.6476316132988512E-3</v>
      </c>
      <c r="F36" s="3">
        <f t="shared" si="1"/>
        <v>1098.7439884402138</v>
      </c>
      <c r="G36" s="6">
        <v>4.4800000000000004</v>
      </c>
      <c r="H36" s="8">
        <f t="shared" si="3"/>
        <v>3.7333333333333337E-3</v>
      </c>
      <c r="I36">
        <f t="shared" si="4"/>
        <v>-34875.089628670685</v>
      </c>
      <c r="J36" s="2">
        <f t="shared" si="5"/>
        <v>5.2227910941665861E-3</v>
      </c>
      <c r="K36" s="9">
        <f t="shared" si="6"/>
        <v>1109.5625614450871</v>
      </c>
    </row>
    <row r="37" spans="1:11" x14ac:dyDescent="0.3">
      <c r="A37" s="1">
        <v>40147</v>
      </c>
      <c r="B37">
        <v>1150.76</v>
      </c>
      <c r="C37" s="2">
        <f t="shared" si="2"/>
        <v>3.0157761701385954E-3</v>
      </c>
      <c r="D37">
        <v>6.1929999999999996</v>
      </c>
      <c r="E37" s="2">
        <f t="shared" si="0"/>
        <v>1.7515780493953786E-3</v>
      </c>
      <c r="F37" s="3">
        <f t="shared" si="1"/>
        <v>1100.6685242922706</v>
      </c>
      <c r="G37" s="7">
        <v>4.4800000000000004</v>
      </c>
      <c r="H37" s="8">
        <f t="shared" si="3"/>
        <v>3.7333333333333337E-3</v>
      </c>
      <c r="I37">
        <f t="shared" si="4"/>
        <v>-35005.289963284391</v>
      </c>
      <c r="J37" s="2">
        <f t="shared" si="5"/>
        <v>2.5483418389725945E-3</v>
      </c>
      <c r="K37" s="9">
        <f t="shared" si="6"/>
        <v>1112.3901061433753</v>
      </c>
    </row>
    <row r="38" spans="1:11" x14ac:dyDescent="0.3">
      <c r="A38" s="1">
        <v>40178</v>
      </c>
      <c r="B38">
        <v>1153.5</v>
      </c>
      <c r="C38" s="2">
        <f t="shared" si="2"/>
        <v>2.3810351419930598E-3</v>
      </c>
      <c r="D38">
        <v>6.2590000000000003</v>
      </c>
      <c r="E38" s="2">
        <f t="shared" si="0"/>
        <v>3.3885288411178091E-4</v>
      </c>
      <c r="F38" s="3">
        <f t="shared" si="1"/>
        <v>1101.041488996178</v>
      </c>
      <c r="G38" s="6">
        <v>4.53</v>
      </c>
      <c r="H38" s="8">
        <f t="shared" si="3"/>
        <v>3.7750000000000001E-3</v>
      </c>
      <c r="I38">
        <f t="shared" si="4"/>
        <v>-35137.434932895791</v>
      </c>
      <c r="J38" s="2">
        <f t="shared" si="5"/>
        <v>1.9075298576809701E-3</v>
      </c>
      <c r="K38" s="9">
        <f t="shared" si="6"/>
        <v>1114.5120234842327</v>
      </c>
    </row>
    <row r="39" spans="1:11" x14ac:dyDescent="0.3">
      <c r="A39" s="1">
        <v>40209</v>
      </c>
      <c r="B39">
        <v>1169.51</v>
      </c>
      <c r="C39" s="2">
        <f t="shared" si="2"/>
        <v>1.3879497182488043E-2</v>
      </c>
      <c r="D39">
        <v>6.109</v>
      </c>
      <c r="E39" s="2">
        <f t="shared" si="0"/>
        <v>1.6250297540764926E-2</v>
      </c>
      <c r="F39" s="3">
        <f t="shared" si="1"/>
        <v>1118.9337407970929</v>
      </c>
      <c r="G39" s="7">
        <v>4.5</v>
      </c>
      <c r="H39" s="8">
        <f t="shared" si="3"/>
        <v>3.7499999999999999E-3</v>
      </c>
      <c r="I39">
        <f t="shared" si="4"/>
        <v>-35269.200313894144</v>
      </c>
      <c r="J39" s="2">
        <f t="shared" si="5"/>
        <v>9.1249594230381377E-3</v>
      </c>
      <c r="K39" s="9">
        <f t="shared" si="6"/>
        <v>1124.6819004750143</v>
      </c>
    </row>
    <row r="40" spans="1:11" x14ac:dyDescent="0.3">
      <c r="A40" s="1">
        <v>40237</v>
      </c>
      <c r="B40">
        <v>1178.06</v>
      </c>
      <c r="C40" s="2">
        <f t="shared" si="2"/>
        <v>7.3107540764936196E-3</v>
      </c>
      <c r="D40">
        <v>6.0549999999999997</v>
      </c>
      <c r="E40" s="2">
        <f t="shared" si="0"/>
        <v>9.0730817046272387E-3</v>
      </c>
      <c r="F40" s="3">
        <f t="shared" si="1"/>
        <v>1129.085918049409</v>
      </c>
      <c r="G40" s="6">
        <v>4.45</v>
      </c>
      <c r="H40" s="8">
        <f t="shared" si="3"/>
        <v>3.7083333333333334E-3</v>
      </c>
      <c r="I40">
        <f t="shared" si="4"/>
        <v>-35399.990265058172</v>
      </c>
      <c r="J40" s="2">
        <f t="shared" si="5"/>
        <v>5.8693751005278669E-3</v>
      </c>
      <c r="K40" s="9">
        <f t="shared" si="6"/>
        <v>1131.2830804176767</v>
      </c>
    </row>
    <row r="41" spans="1:11" x14ac:dyDescent="0.3">
      <c r="A41" s="1">
        <v>40268</v>
      </c>
      <c r="B41">
        <v>1197.52</v>
      </c>
      <c r="C41" s="2">
        <f t="shared" si="2"/>
        <v>1.6518683258917255E-2</v>
      </c>
      <c r="D41">
        <v>5.51</v>
      </c>
      <c r="E41" s="2">
        <f t="shared" si="0"/>
        <v>4.6259962562191032E-2</v>
      </c>
      <c r="F41" s="3">
        <f t="shared" si="1"/>
        <v>1181.3173903478719</v>
      </c>
      <c r="G41" s="7">
        <v>4.41</v>
      </c>
      <c r="H41" s="8">
        <f t="shared" si="3"/>
        <v>3.6750000000000003E-3</v>
      </c>
      <c r="I41">
        <f t="shared" si="4"/>
        <v>-35530.085229282267</v>
      </c>
      <c r="J41" s="2">
        <f t="shared" si="5"/>
        <v>2.2737340212204287E-2</v>
      </c>
      <c r="K41" s="9">
        <f t="shared" si="6"/>
        <v>1157.0054486934439</v>
      </c>
    </row>
    <row r="42" spans="1:11" x14ac:dyDescent="0.3">
      <c r="A42" s="1">
        <v>40298</v>
      </c>
      <c r="B42">
        <v>1201.29</v>
      </c>
      <c r="C42" s="2">
        <f t="shared" si="2"/>
        <v>3.1481728906406214E-3</v>
      </c>
      <c r="D42">
        <v>5.62</v>
      </c>
      <c r="E42" s="2">
        <f t="shared" si="0"/>
        <v>-3.684496440179646E-3</v>
      </c>
      <c r="F42" s="3">
        <f t="shared" si="1"/>
        <v>1176.9648306284128</v>
      </c>
      <c r="G42" s="6">
        <v>4.26</v>
      </c>
      <c r="H42" s="8">
        <f t="shared" si="3"/>
        <v>3.5499999999999998E-3</v>
      </c>
      <c r="I42">
        <f t="shared" si="4"/>
        <v>-35656.217031846216</v>
      </c>
      <c r="J42" s="2">
        <f t="shared" si="5"/>
        <v>8.253904185590911E-5</v>
      </c>
      <c r="K42" s="9">
        <f t="shared" si="6"/>
        <v>1157.1009468146012</v>
      </c>
    </row>
    <row r="43" spans="1:11" x14ac:dyDescent="0.3">
      <c r="A43" s="1">
        <v>40329</v>
      </c>
      <c r="B43">
        <v>1199.74</v>
      </c>
      <c r="C43" s="2">
        <f t="shared" si="2"/>
        <v>-1.290279616079304E-3</v>
      </c>
      <c r="D43">
        <v>5.8029999999999999</v>
      </c>
      <c r="E43" s="2">
        <f t="shared" si="0"/>
        <v>-8.9693134301814074E-3</v>
      </c>
      <c r="F43" s="3">
        <f t="shared" si="1"/>
        <v>1166.4082641662062</v>
      </c>
      <c r="G43" s="7">
        <v>4.25</v>
      </c>
      <c r="H43" s="8">
        <f t="shared" si="3"/>
        <v>3.5416666666666665E-3</v>
      </c>
      <c r="I43">
        <f t="shared" si="4"/>
        <v>-35782.499467167341</v>
      </c>
      <c r="J43" s="2">
        <f t="shared" si="5"/>
        <v>-2.3146533699086452E-3</v>
      </c>
      <c r="K43" s="9">
        <f t="shared" si="6"/>
        <v>1154.4226592087323</v>
      </c>
    </row>
    <row r="44" spans="1:11" x14ac:dyDescent="0.3">
      <c r="A44" s="1">
        <v>40359</v>
      </c>
      <c r="B44">
        <v>1198.1400000000001</v>
      </c>
      <c r="C44" s="2">
        <f t="shared" si="2"/>
        <v>-1.3336222848282508E-3</v>
      </c>
      <c r="D44">
        <v>5.9409999999999998</v>
      </c>
      <c r="E44" s="2">
        <f t="shared" si="0"/>
        <v>-5.3944185685440961E-3</v>
      </c>
      <c r="F44" s="3">
        <f t="shared" si="1"/>
        <v>1160.1161697674847</v>
      </c>
      <c r="G44" s="6">
        <v>4.25</v>
      </c>
      <c r="H44" s="8">
        <f t="shared" si="3"/>
        <v>3.5416666666666665E-3</v>
      </c>
      <c r="I44">
        <f t="shared" si="4"/>
        <v>-35909.22915278023</v>
      </c>
      <c r="J44" s="2">
        <f t="shared" si="5"/>
        <v>-6.9308144955910057E-4</v>
      </c>
      <c r="K44" s="9">
        <f t="shared" si="6"/>
        <v>1153.622550278684</v>
      </c>
    </row>
    <row r="45" spans="1:11" x14ac:dyDescent="0.3">
      <c r="A45" s="1">
        <v>40390</v>
      </c>
      <c r="B45">
        <v>1207</v>
      </c>
      <c r="C45" s="2">
        <f t="shared" si="2"/>
        <v>7.394795265995624E-3</v>
      </c>
      <c r="D45">
        <v>5.883</v>
      </c>
      <c r="E45" s="2">
        <f t="shared" si="0"/>
        <v>9.2619882011840526E-3</v>
      </c>
      <c r="F45" s="3">
        <f t="shared" si="1"/>
        <v>1170.861152043874</v>
      </c>
      <c r="G45" s="7">
        <v>4.2300000000000004</v>
      </c>
      <c r="H45" s="8">
        <f t="shared" si="3"/>
        <v>3.5250000000000004E-3</v>
      </c>
      <c r="I45">
        <f t="shared" si="4"/>
        <v>-36035.809185543781</v>
      </c>
      <c r="J45" s="2">
        <f t="shared" si="5"/>
        <v>5.9550630668161507E-3</v>
      </c>
      <c r="K45" s="9">
        <f t="shared" si="6"/>
        <v>1160.4924453208948</v>
      </c>
    </row>
    <row r="46" spans="1:11" x14ac:dyDescent="0.3">
      <c r="A46" s="1">
        <v>40421</v>
      </c>
      <c r="B46">
        <v>1221.3699999999999</v>
      </c>
      <c r="C46" s="2">
        <f t="shared" si="2"/>
        <v>1.1905550952775457E-2</v>
      </c>
      <c r="D46">
        <v>5.4329999999999998</v>
      </c>
      <c r="E46" s="2">
        <f t="shared" si="0"/>
        <v>3.90543724687595E-2</v>
      </c>
      <c r="F46" s="3">
        <f t="shared" si="1"/>
        <v>1216.5883995849963</v>
      </c>
      <c r="G46" s="6">
        <v>4.24</v>
      </c>
      <c r="H46" s="8">
        <f t="shared" si="3"/>
        <v>3.5333333333333336E-3</v>
      </c>
      <c r="I46">
        <f t="shared" si="4"/>
        <v>-36163.135711332703</v>
      </c>
      <c r="J46" s="2">
        <f t="shared" si="5"/>
        <v>1.9468885329672173E-2</v>
      </c>
      <c r="K46" s="9">
        <f t="shared" si="6"/>
        <v>1183.0859396647984</v>
      </c>
    </row>
    <row r="47" spans="1:11" x14ac:dyDescent="0.3">
      <c r="A47" s="1">
        <v>40451</v>
      </c>
      <c r="B47">
        <v>1228.01</v>
      </c>
      <c r="C47" s="2">
        <f t="shared" si="2"/>
        <v>5.4365180084658959E-3</v>
      </c>
      <c r="D47">
        <v>5.5030000000000001</v>
      </c>
      <c r="E47" s="2">
        <f t="shared" si="0"/>
        <v>-7.6777703826615487E-4</v>
      </c>
      <c r="F47" s="3">
        <f t="shared" si="1"/>
        <v>1215.6543309467741</v>
      </c>
      <c r="G47" s="7">
        <v>4.26</v>
      </c>
      <c r="H47" s="8">
        <f t="shared" si="3"/>
        <v>3.5499999999999998E-3</v>
      </c>
      <c r="I47">
        <f t="shared" si="4"/>
        <v>-36291.514843107929</v>
      </c>
      <c r="J47" s="2">
        <f t="shared" si="5"/>
        <v>1.4055626452732794E-3</v>
      </c>
      <c r="K47" s="9">
        <f t="shared" si="6"/>
        <v>1184.7488410677395</v>
      </c>
    </row>
    <row r="48" spans="1:11" x14ac:dyDescent="0.3">
      <c r="A48" s="1">
        <v>40482</v>
      </c>
      <c r="B48">
        <v>1227.9100000000001</v>
      </c>
      <c r="C48" s="2">
        <f t="shared" si="2"/>
        <v>-8.1432561623961952E-5</v>
      </c>
      <c r="D48">
        <v>5.6689999999999996</v>
      </c>
      <c r="E48" s="2">
        <f t="shared" si="0"/>
        <v>-7.8753763202052511E-3</v>
      </c>
      <c r="F48" s="3">
        <f t="shared" si="1"/>
        <v>1206.0805956152808</v>
      </c>
      <c r="G48" s="6">
        <v>4.26</v>
      </c>
      <c r="H48" s="8">
        <f t="shared" si="3"/>
        <v>3.5499999999999998E-3</v>
      </c>
      <c r="I48">
        <f t="shared" si="4"/>
        <v>-36420.349720800958</v>
      </c>
      <c r="J48" s="2">
        <f t="shared" si="5"/>
        <v>-1.8184436158256354E-3</v>
      </c>
      <c r="K48" s="9">
        <f t="shared" si="6"/>
        <v>1182.594442101343</v>
      </c>
    </row>
    <row r="49" spans="1:11" x14ac:dyDescent="0.3">
      <c r="A49" s="1">
        <v>40512</v>
      </c>
      <c r="B49">
        <v>1221.56</v>
      </c>
      <c r="C49" s="2">
        <f t="shared" si="2"/>
        <v>-5.1713887825656224E-3</v>
      </c>
      <c r="D49">
        <v>6.0549999999999997</v>
      </c>
      <c r="E49" s="2">
        <f t="shared" si="0"/>
        <v>-2.3741534654062896E-2</v>
      </c>
      <c r="F49" s="3">
        <f t="shared" si="1"/>
        <v>1177.4463913588877</v>
      </c>
      <c r="G49" s="7">
        <v>4.3</v>
      </c>
      <c r="H49" s="8">
        <f t="shared" si="3"/>
        <v>3.5833333333333333E-3</v>
      </c>
      <c r="I49">
        <f t="shared" si="4"/>
        <v>-36550.855973967162</v>
      </c>
      <c r="J49" s="2">
        <f t="shared" si="5"/>
        <v>-9.0153313100891641E-3</v>
      </c>
      <c r="K49" s="9">
        <f t="shared" si="6"/>
        <v>1171.9329614003293</v>
      </c>
    </row>
    <row r="50" spans="1:11" x14ac:dyDescent="0.3">
      <c r="A50" s="1">
        <v>40543</v>
      </c>
      <c r="B50">
        <v>1228.6600000000001</v>
      </c>
      <c r="C50" s="2">
        <f t="shared" si="2"/>
        <v>5.8122400864468737E-3</v>
      </c>
      <c r="D50">
        <v>6.0549999999999997</v>
      </c>
      <c r="E50" s="2">
        <f t="shared" si="0"/>
        <v>5.0458333333333327E-3</v>
      </c>
      <c r="F50" s="3">
        <f t="shared" si="1"/>
        <v>1183.3875896086195</v>
      </c>
      <c r="G50" s="6">
        <v>4.37</v>
      </c>
      <c r="H50" s="8">
        <f t="shared" si="3"/>
        <v>3.6416666666666667E-3</v>
      </c>
      <c r="I50">
        <f t="shared" si="4"/>
        <v>-36683.962007805698</v>
      </c>
      <c r="J50" s="2">
        <f t="shared" si="5"/>
        <v>4.0426156774066328E-3</v>
      </c>
      <c r="K50" s="9">
        <f t="shared" si="6"/>
        <v>1176.6706359629559</v>
      </c>
    </row>
    <row r="51" spans="1:11" x14ac:dyDescent="0.3">
      <c r="A51" s="1">
        <v>40574</v>
      </c>
      <c r="B51">
        <v>1220.08</v>
      </c>
      <c r="C51" s="2">
        <f t="shared" si="2"/>
        <v>-6.9832174889719045E-3</v>
      </c>
      <c r="D51">
        <v>6.3440000000000003</v>
      </c>
      <c r="E51" s="2">
        <f t="shared" si="0"/>
        <v>-1.598690311528525E-2</v>
      </c>
      <c r="F51" s="3">
        <f t="shared" si="1"/>
        <v>1164.4688868657154</v>
      </c>
      <c r="G51" s="7">
        <v>4.5</v>
      </c>
      <c r="H51" s="8">
        <f t="shared" si="3"/>
        <v>3.7499999999999999E-3</v>
      </c>
      <c r="I51">
        <f t="shared" si="4"/>
        <v>-36821.526865334963</v>
      </c>
      <c r="J51" s="2">
        <f t="shared" si="5"/>
        <v>-5.4978312876746375E-3</v>
      </c>
      <c r="K51" s="9">
        <f t="shared" si="6"/>
        <v>1170.2014993252708</v>
      </c>
    </row>
    <row r="52" spans="1:11" x14ac:dyDescent="0.3">
      <c r="A52" s="1">
        <v>40602</v>
      </c>
      <c r="B52">
        <v>1226.94</v>
      </c>
      <c r="C52" s="2">
        <f t="shared" si="2"/>
        <v>5.6225821257622766E-3</v>
      </c>
      <c r="D52">
        <v>6.2359999999999998</v>
      </c>
      <c r="E52" s="2">
        <f t="shared" si="0"/>
        <v>1.3185470825034079E-2</v>
      </c>
      <c r="F52" s="3">
        <f t="shared" si="1"/>
        <v>1179.8229574001432</v>
      </c>
      <c r="G52" s="6">
        <v>4.54</v>
      </c>
      <c r="H52" s="8">
        <f t="shared" si="3"/>
        <v>3.7833333333333334E-3</v>
      </c>
      <c r="I52">
        <f t="shared" si="4"/>
        <v>-36960.834975308811</v>
      </c>
      <c r="J52" s="2">
        <f t="shared" si="5"/>
        <v>7.7347543581848298E-3</v>
      </c>
      <c r="K52" s="9">
        <f t="shared" si="6"/>
        <v>1179.2527204721314</v>
      </c>
    </row>
    <row r="53" spans="1:11" x14ac:dyDescent="0.3">
      <c r="A53" s="1">
        <v>40633</v>
      </c>
      <c r="B53">
        <v>1232.93</v>
      </c>
      <c r="C53" s="2">
        <f t="shared" si="2"/>
        <v>4.8820643226237248E-3</v>
      </c>
      <c r="D53">
        <v>6.2729999999999997</v>
      </c>
      <c r="E53" s="2">
        <f t="shared" si="0"/>
        <v>2.4951619573118479E-3</v>
      </c>
      <c r="F53" s="3">
        <f t="shared" si="1"/>
        <v>1182.7668067598113</v>
      </c>
      <c r="G53" s="7">
        <v>4.57</v>
      </c>
      <c r="H53" s="8">
        <f t="shared" si="3"/>
        <v>3.8083333333333337E-3</v>
      </c>
      <c r="I53">
        <f t="shared" si="4"/>
        <v>-37101.594155173116</v>
      </c>
      <c r="J53" s="2">
        <f t="shared" si="5"/>
        <v>2.8856314187139355E-3</v>
      </c>
      <c r="K53" s="9">
        <f t="shared" si="6"/>
        <v>1182.6556091729296</v>
      </c>
    </row>
    <row r="54" spans="1:11" x14ac:dyDescent="0.3">
      <c r="A54" s="1">
        <v>40663</v>
      </c>
      <c r="B54">
        <v>1242.23</v>
      </c>
      <c r="C54" s="2">
        <f t="shared" si="2"/>
        <v>7.5430073077951132E-3</v>
      </c>
      <c r="D54">
        <v>6.1429999999999998</v>
      </c>
      <c r="E54" s="2">
        <f t="shared" si="0"/>
        <v>1.4775829205152139E-2</v>
      </c>
      <c r="F54" s="3">
        <f t="shared" si="1"/>
        <v>1200.2431670860174</v>
      </c>
      <c r="G54" s="6">
        <v>4.66</v>
      </c>
      <c r="H54" s="8">
        <f t="shared" si="3"/>
        <v>3.8833333333333333E-3</v>
      </c>
      <c r="I54">
        <f t="shared" si="4"/>
        <v>-37245.672012475698</v>
      </c>
      <c r="J54" s="2">
        <f t="shared" si="5"/>
        <v>8.4561407464018249E-3</v>
      </c>
      <c r="K54" s="9">
        <f t="shared" si="6"/>
        <v>1192.6563114586177</v>
      </c>
    </row>
    <row r="55" spans="1:11" x14ac:dyDescent="0.3">
      <c r="A55" s="1">
        <v>40694</v>
      </c>
      <c r="B55">
        <v>1251.71</v>
      </c>
      <c r="C55" s="2">
        <f t="shared" si="2"/>
        <v>7.6314370124694886E-3</v>
      </c>
      <c r="D55">
        <v>6.0609999999999999</v>
      </c>
      <c r="E55" s="2">
        <f t="shared" si="0"/>
        <v>1.1164621426087977E-2</v>
      </c>
      <c r="F55" s="3">
        <f t="shared" si="1"/>
        <v>1213.6434276657815</v>
      </c>
      <c r="G55" s="7">
        <v>4.76</v>
      </c>
      <c r="H55" s="8">
        <f t="shared" si="3"/>
        <v>3.9666666666666661E-3</v>
      </c>
      <c r="I55">
        <f t="shared" si="4"/>
        <v>-37393.413178125185</v>
      </c>
      <c r="J55" s="2">
        <f t="shared" si="5"/>
        <v>6.8180972906577014E-3</v>
      </c>
      <c r="K55" s="9">
        <f t="shared" si="6"/>
        <v>1200.7879582244595</v>
      </c>
    </row>
    <row r="56" spans="1:11" x14ac:dyDescent="0.3">
      <c r="A56" s="1">
        <v>40724</v>
      </c>
      <c r="B56">
        <v>1267.53</v>
      </c>
      <c r="C56" s="2">
        <f t="shared" si="2"/>
        <v>1.2638710244385676E-2</v>
      </c>
      <c r="D56">
        <v>5.7809999999999997</v>
      </c>
      <c r="E56" s="2">
        <f t="shared" si="0"/>
        <v>2.5961328218014331E-2</v>
      </c>
      <c r="F56" s="3">
        <f t="shared" si="1"/>
        <v>1245.1512230310486</v>
      </c>
      <c r="G56" s="6">
        <v>4.8499999999999996</v>
      </c>
      <c r="H56" s="8">
        <f t="shared" si="3"/>
        <v>4.0416666666666665E-3</v>
      </c>
      <c r="I56">
        <f t="shared" si="4"/>
        <v>-37544.544889720113</v>
      </c>
      <c r="J56" s="2">
        <f t="shared" si="5"/>
        <v>1.3529881881839748E-2</v>
      </c>
      <c r="K56" s="9">
        <f t="shared" si="6"/>
        <v>1217.034477464372</v>
      </c>
    </row>
    <row r="57" spans="1:11" x14ac:dyDescent="0.3">
      <c r="A57" s="1">
        <v>40755</v>
      </c>
      <c r="B57">
        <v>1273.3900000000001</v>
      </c>
      <c r="C57" s="2">
        <f t="shared" si="2"/>
        <v>4.6231647377183993E-3</v>
      </c>
      <c r="D57">
        <v>5.7939999999999996</v>
      </c>
      <c r="E57" s="2">
        <f t="shared" si="0"/>
        <v>3.8472373750514073E-3</v>
      </c>
      <c r="F57" s="3">
        <f t="shared" si="1"/>
        <v>1249.9416153538846</v>
      </c>
      <c r="G57" s="7">
        <v>4.8499999999999996</v>
      </c>
      <c r="H57" s="8">
        <f t="shared" si="3"/>
        <v>4.0416666666666665E-3</v>
      </c>
      <c r="I57">
        <f t="shared" si="4"/>
        <v>-37696.28742531607</v>
      </c>
      <c r="J57" s="2">
        <f t="shared" si="5"/>
        <v>3.4989326811172682E-3</v>
      </c>
      <c r="K57" s="9">
        <f t="shared" si="6"/>
        <v>1221.2927991716185</v>
      </c>
    </row>
    <row r="58" spans="1:11" x14ac:dyDescent="0.3">
      <c r="A58" s="1">
        <v>40786</v>
      </c>
      <c r="B58">
        <v>1288.51</v>
      </c>
      <c r="C58" s="2">
        <f t="shared" si="2"/>
        <v>1.187381713379243E-2</v>
      </c>
      <c r="D58">
        <v>5.6139999999999999</v>
      </c>
      <c r="E58" s="2">
        <f t="shared" si="0"/>
        <v>1.8374906628492959E-2</v>
      </c>
      <c r="F58" s="3">
        <f t="shared" si="1"/>
        <v>1272.9091758270799</v>
      </c>
      <c r="G58" s="6">
        <v>4.88</v>
      </c>
      <c r="H58" s="8">
        <f t="shared" si="3"/>
        <v>4.0666666666666663E-3</v>
      </c>
      <c r="I58">
        <f t="shared" si="4"/>
        <v>-37849.585660845689</v>
      </c>
      <c r="J58" s="2">
        <f t="shared" si="5"/>
        <v>1.0088681874109421E-2</v>
      </c>
      <c r="K58" s="9">
        <f t="shared" si="6"/>
        <v>1233.6140336976016</v>
      </c>
    </row>
    <row r="59" spans="1:11" x14ac:dyDescent="0.3">
      <c r="A59" s="1">
        <v>40816</v>
      </c>
      <c r="B59">
        <v>1283.9000000000001</v>
      </c>
      <c r="C59" s="2">
        <f t="shared" si="2"/>
        <v>-3.5777758806683213E-3</v>
      </c>
      <c r="D59">
        <v>5.9180000000000001</v>
      </c>
      <c r="E59" s="2">
        <f t="shared" si="0"/>
        <v>-1.7881714414250911E-2</v>
      </c>
      <c r="F59" s="3">
        <f t="shared" si="1"/>
        <v>1250.1473774696606</v>
      </c>
      <c r="G59" s="7">
        <v>4.88</v>
      </c>
      <c r="H59" s="8">
        <f t="shared" si="3"/>
        <v>4.0666666666666663E-3</v>
      </c>
      <c r="I59">
        <f t="shared" si="4"/>
        <v>-38003.507309199791</v>
      </c>
      <c r="J59" s="2">
        <f t="shared" si="5"/>
        <v>-6.3573174867614882E-3</v>
      </c>
      <c r="K59" s="9">
        <f t="shared" si="6"/>
        <v>1225.7715576292615</v>
      </c>
    </row>
    <row r="60" spans="1:11" x14ac:dyDescent="0.3">
      <c r="A60" s="1">
        <v>40847</v>
      </c>
      <c r="B60">
        <v>1297.98</v>
      </c>
      <c r="C60" s="2">
        <f t="shared" si="2"/>
        <v>1.0966586182724392E-2</v>
      </c>
      <c r="D60">
        <v>5.734</v>
      </c>
      <c r="E60" s="2">
        <f t="shared" si="0"/>
        <v>1.8702679979228143E-2</v>
      </c>
      <c r="F60" s="3">
        <f t="shared" si="1"/>
        <v>1273.528483797347</v>
      </c>
      <c r="G60" s="6">
        <v>4.9400000000000004</v>
      </c>
      <c r="H60" s="8">
        <f t="shared" si="3"/>
        <v>4.1166666666666669E-3</v>
      </c>
      <c r="I60">
        <f t="shared" si="4"/>
        <v>-38159.955080956002</v>
      </c>
      <c r="J60" s="2">
        <f t="shared" si="5"/>
        <v>1.0237359830346609E-2</v>
      </c>
      <c r="K60" s="9">
        <f t="shared" si="6"/>
        <v>1238.3202221345168</v>
      </c>
    </row>
    <row r="61" spans="1:11" x14ac:dyDescent="0.3">
      <c r="A61" s="1">
        <v>40877</v>
      </c>
      <c r="B61">
        <v>1291.96</v>
      </c>
      <c r="C61" s="2">
        <f t="shared" si="2"/>
        <v>-4.637975931832572E-3</v>
      </c>
      <c r="D61">
        <v>5.9240000000000004</v>
      </c>
      <c r="E61" s="2">
        <f t="shared" si="0"/>
        <v>-9.317807220286186E-3</v>
      </c>
      <c r="F61" s="3">
        <f t="shared" si="1"/>
        <v>1261.66199089578</v>
      </c>
      <c r="G61" s="7">
        <v>4.97</v>
      </c>
      <c r="H61" s="8">
        <f t="shared" si="3"/>
        <v>4.1416666666666668E-3</v>
      </c>
      <c r="I61">
        <f t="shared" si="4"/>
        <v>-38318.000894916295</v>
      </c>
      <c r="J61" s="2">
        <f t="shared" si="5"/>
        <v>-2.4727301151898414E-3</v>
      </c>
      <c r="K61" s="9">
        <f t="shared" si="6"/>
        <v>1235.2581904289962</v>
      </c>
    </row>
    <row r="62" spans="1:11" x14ac:dyDescent="0.3">
      <c r="A62" s="1">
        <v>40908</v>
      </c>
      <c r="B62">
        <v>1299.9100000000001</v>
      </c>
      <c r="C62" s="2">
        <f t="shared" si="2"/>
        <v>6.1534412830119845E-3</v>
      </c>
      <c r="D62">
        <v>5.8920000000000003</v>
      </c>
      <c r="E62" s="2">
        <f t="shared" si="0"/>
        <v>7.3142500933426006E-3</v>
      </c>
      <c r="F62" s="3">
        <f t="shared" si="1"/>
        <v>1270.8901022304563</v>
      </c>
      <c r="G62" s="6" t="s">
        <v>5</v>
      </c>
      <c r="H62" s="8">
        <f t="shared" si="3"/>
        <v>4.1666666666666666E-3</v>
      </c>
      <c r="I62">
        <f t="shared" si="4"/>
        <v>-38477.659231978447</v>
      </c>
      <c r="J62" s="2">
        <f t="shared" si="5"/>
        <v>5.0715692729807992E-3</v>
      </c>
      <c r="K62" s="9">
        <f t="shared" si="6"/>
        <v>1241.5228879117738</v>
      </c>
    </row>
    <row r="63" spans="1:11" x14ac:dyDescent="0.3">
      <c r="A63" s="1">
        <v>40939</v>
      </c>
      <c r="B63">
        <v>1318.52</v>
      </c>
      <c r="C63" s="2">
        <f t="shared" si="2"/>
        <v>1.4316375749090282E-2</v>
      </c>
      <c r="D63">
        <v>5.5780000000000003</v>
      </c>
      <c r="E63" s="2">
        <f t="shared" si="0"/>
        <v>2.8580664958928668E-2</v>
      </c>
      <c r="F63" s="3">
        <f t="shared" si="1"/>
        <v>1307.2129864419235</v>
      </c>
      <c r="G63" s="7" t="s">
        <v>5</v>
      </c>
      <c r="H63" s="8">
        <f t="shared" si="3"/>
        <v>4.1666666666666666E-3</v>
      </c>
      <c r="I63">
        <f t="shared" si="4"/>
        <v>-38637.982812111688</v>
      </c>
      <c r="J63" s="2">
        <f t="shared" si="5"/>
        <v>1.4718012742578192E-2</v>
      </c>
      <c r="K63" s="9">
        <f t="shared" si="6"/>
        <v>1259.7956375962617</v>
      </c>
    </row>
    <row r="64" spans="1:11" x14ac:dyDescent="0.3">
      <c r="A64" s="1">
        <v>40968</v>
      </c>
      <c r="B64">
        <v>1327.63</v>
      </c>
      <c r="C64" s="2">
        <f t="shared" si="2"/>
        <v>6.9092618997057542E-3</v>
      </c>
      <c r="D64">
        <v>5.4610000000000003</v>
      </c>
      <c r="E64" s="2">
        <f t="shared" si="0"/>
        <v>1.3516279976889947E-2</v>
      </c>
      <c r="F64" s="3">
        <f t="shared" si="1"/>
        <v>1324.881643156099</v>
      </c>
      <c r="G64" s="6">
        <v>4.9800000000000004</v>
      </c>
      <c r="H64" s="8">
        <f t="shared" si="3"/>
        <v>4.15E-3</v>
      </c>
      <c r="I64">
        <f t="shared" si="4"/>
        <v>-38798.330440781952</v>
      </c>
      <c r="J64" s="2">
        <f t="shared" si="5"/>
        <v>7.8848093534801128E-3</v>
      </c>
      <c r="K64" s="9">
        <f t="shared" si="6"/>
        <v>1269.728886023054</v>
      </c>
    </row>
    <row r="65" spans="1:11" x14ac:dyDescent="0.3">
      <c r="A65" s="1">
        <v>40999</v>
      </c>
      <c r="B65">
        <v>1332.59</v>
      </c>
      <c r="C65" s="2">
        <f t="shared" si="2"/>
        <v>3.7359806572612175E-3</v>
      </c>
      <c r="D65">
        <v>5.5019999999999998</v>
      </c>
      <c r="E65" s="2">
        <f t="shared" si="0"/>
        <v>1.4491700385269E-3</v>
      </c>
      <c r="F65" s="3">
        <f t="shared" si="1"/>
        <v>1326.8016219379551</v>
      </c>
      <c r="G65" s="7">
        <v>4.96</v>
      </c>
      <c r="H65" s="8">
        <f t="shared" si="3"/>
        <v>4.1333333333333335E-3</v>
      </c>
      <c r="I65">
        <f t="shared" si="4"/>
        <v>-38958.696873270521</v>
      </c>
      <c r="J65" s="2">
        <f t="shared" si="5"/>
        <v>2.4111695981396172E-3</v>
      </c>
      <c r="K65" s="9">
        <f t="shared" si="6"/>
        <v>1272.7904177109126</v>
      </c>
    </row>
    <row r="66" spans="1:11" x14ac:dyDescent="0.3">
      <c r="A66" s="1">
        <v>41029</v>
      </c>
      <c r="B66">
        <v>1340.41</v>
      </c>
      <c r="C66" s="2">
        <f t="shared" si="2"/>
        <v>5.8682715613955772E-3</v>
      </c>
      <c r="D66">
        <v>5.4089999999999998</v>
      </c>
      <c r="E66" s="2">
        <f t="shared" si="0"/>
        <v>1.1650930061857183E-2</v>
      </c>
      <c r="F66" s="3">
        <f t="shared" si="1"/>
        <v>1342.260094841113</v>
      </c>
      <c r="G66" s="6">
        <v>4.9800000000000004</v>
      </c>
      <c r="H66" s="8">
        <f t="shared" si="3"/>
        <v>4.15E-3</v>
      </c>
      <c r="I66">
        <f t="shared" si="4"/>
        <v>-39120.375465294601</v>
      </c>
      <c r="J66" s="2">
        <f t="shared" si="5"/>
        <v>7.0386868349403171E-3</v>
      </c>
      <c r="K66" s="9">
        <f t="shared" si="6"/>
        <v>1281.7491908676927</v>
      </c>
    </row>
    <row r="67" spans="1:11" x14ac:dyDescent="0.3">
      <c r="A67" s="1">
        <v>41060</v>
      </c>
      <c r="B67">
        <v>1342.2</v>
      </c>
      <c r="C67" s="2">
        <f t="shared" si="2"/>
        <v>1.3354122992219608E-3</v>
      </c>
      <c r="D67">
        <v>5.4489999999999998</v>
      </c>
      <c r="E67" s="2">
        <f t="shared" ref="E67:E130" si="7">D66/1200+((D66/D67)*(1-(1+D67/200)^(-2*(10-(1/12))))+(1+D67/200)^(-2*(10-(1/12)))-1)</f>
        <v>1.474033414675782E-3</v>
      </c>
      <c r="F67" s="3">
        <f t="shared" ref="F67:F130" si="8">F66*(1+E67)</f>
        <v>1344.2386310720947</v>
      </c>
      <c r="G67" s="7">
        <v>5.14</v>
      </c>
      <c r="H67" s="8">
        <f t="shared" si="3"/>
        <v>4.2833333333333334E-3</v>
      </c>
      <c r="I67">
        <f t="shared" si="4"/>
        <v>-39287.941073537615</v>
      </c>
      <c r="J67" s="2">
        <f t="shared" si="5"/>
        <v>2.4224476228560284E-3</v>
      </c>
      <c r="K67" s="9">
        <f t="shared" si="6"/>
        <v>1284.8541611482078</v>
      </c>
    </row>
    <row r="68" spans="1:11" x14ac:dyDescent="0.3">
      <c r="A68" s="1">
        <v>41090</v>
      </c>
      <c r="B68">
        <v>1361.09</v>
      </c>
      <c r="C68" s="2">
        <f t="shared" ref="C68:C131" si="9">B68/B67-1</f>
        <v>1.4073908508418942E-2</v>
      </c>
      <c r="D68">
        <v>5.149</v>
      </c>
      <c r="E68" s="2">
        <f t="shared" si="7"/>
        <v>2.7612076167437556E-2</v>
      </c>
      <c r="F68" s="3">
        <f t="shared" si="8"/>
        <v>1381.3558505404694</v>
      </c>
      <c r="G68" s="6">
        <v>5.15</v>
      </c>
      <c r="H68" s="8">
        <f t="shared" ref="H68:H131" si="10">I297*E68+(1-I297)*G68/1200</f>
        <v>4.2916666666666667E-3</v>
      </c>
      <c r="I68">
        <f t="shared" ref="I68:I131" si="11">(1+H68)*I67</f>
        <v>-39456.551820644876</v>
      </c>
      <c r="J68" s="2">
        <f t="shared" ref="J68:J131" si="12">$J$236+E68*$I$236</f>
        <v>1.4278660972124185E-2</v>
      </c>
      <c r="K68" s="9">
        <f t="shared" ref="K68:K131" si="13">K67*(1+J68)</f>
        <v>1303.2001581138661</v>
      </c>
    </row>
    <row r="69" spans="1:11" x14ac:dyDescent="0.3">
      <c r="A69" s="1">
        <v>41121</v>
      </c>
      <c r="B69">
        <v>1382.34</v>
      </c>
      <c r="C69" s="2">
        <f t="shared" si="9"/>
        <v>1.5612487050819635E-2</v>
      </c>
      <c r="D69">
        <v>4.8659999999999997</v>
      </c>
      <c r="E69" s="2">
        <f t="shared" si="7"/>
        <v>2.6345389854102154E-2</v>
      </c>
      <c r="F69" s="3">
        <f t="shared" si="8"/>
        <v>1417.748208950203</v>
      </c>
      <c r="G69" s="7">
        <v>5.15</v>
      </c>
      <c r="H69" s="8">
        <f t="shared" si="10"/>
        <v>4.2916666666666667E-3</v>
      </c>
      <c r="I69">
        <f t="shared" si="11"/>
        <v>-39625.886188875142</v>
      </c>
      <c r="J69" s="2">
        <f t="shared" si="12"/>
        <v>1.3704092198189662E-2</v>
      </c>
      <c r="K69" s="9">
        <f t="shared" si="13"/>
        <v>1321.059333233354</v>
      </c>
    </row>
    <row r="70" spans="1:11" x14ac:dyDescent="0.3">
      <c r="A70" s="1">
        <v>41152</v>
      </c>
      <c r="B70">
        <v>1390.22</v>
      </c>
      <c r="C70" s="2">
        <f t="shared" si="9"/>
        <v>5.7004788981003252E-3</v>
      </c>
      <c r="D70">
        <v>4.8460000000000001</v>
      </c>
      <c r="E70" s="2">
        <f t="shared" si="7"/>
        <v>5.6150927648162784E-3</v>
      </c>
      <c r="F70" s="3">
        <f t="shared" si="8"/>
        <v>1425.7089966606104</v>
      </c>
      <c r="G70" s="6">
        <v>5.0199999999999996</v>
      </c>
      <c r="H70" s="8">
        <f t="shared" si="10"/>
        <v>4.1833333333333332E-3</v>
      </c>
      <c r="I70">
        <f t="shared" si="11"/>
        <v>-39791.654479431942</v>
      </c>
      <c r="J70" s="2">
        <f t="shared" si="12"/>
        <v>4.3008316936013332E-3</v>
      </c>
      <c r="K70" s="9">
        <f t="shared" si="13"/>
        <v>1326.7409870828517</v>
      </c>
    </row>
    <row r="71" spans="1:11" x14ac:dyDescent="0.3">
      <c r="A71" s="1">
        <v>41182</v>
      </c>
      <c r="B71">
        <v>1401.74</v>
      </c>
      <c r="C71" s="2">
        <f t="shared" si="9"/>
        <v>8.2864582584052382E-3</v>
      </c>
      <c r="D71">
        <v>4.6909999999999998</v>
      </c>
      <c r="E71" s="2">
        <f t="shared" si="7"/>
        <v>1.6217684534438358E-2</v>
      </c>
      <c r="F71" s="3">
        <f t="shared" si="8"/>
        <v>1448.8306954063628</v>
      </c>
      <c r="G71" s="7">
        <v>4.95</v>
      </c>
      <c r="H71" s="8">
        <f t="shared" si="10"/>
        <v>4.1250000000000002E-3</v>
      </c>
      <c r="I71">
        <f t="shared" si="11"/>
        <v>-39955.795054159593</v>
      </c>
      <c r="J71" s="2">
        <f t="shared" si="12"/>
        <v>9.1101661669161591E-3</v>
      </c>
      <c r="K71" s="9">
        <f t="shared" si="13"/>
        <v>1338.8278179356348</v>
      </c>
    </row>
    <row r="72" spans="1:11" x14ac:dyDescent="0.3">
      <c r="A72" s="1">
        <v>41213</v>
      </c>
      <c r="B72">
        <v>1415.82</v>
      </c>
      <c r="C72" s="2">
        <f t="shared" si="9"/>
        <v>1.0044658781229066E-2</v>
      </c>
      <c r="D72">
        <v>4.5739999999999998</v>
      </c>
      <c r="E72" s="2">
        <f t="shared" si="7"/>
        <v>1.3153585540567595E-2</v>
      </c>
      <c r="F72" s="3">
        <f t="shared" si="8"/>
        <v>1467.8880138921904</v>
      </c>
      <c r="G72" s="6">
        <v>4.72</v>
      </c>
      <c r="H72" s="8">
        <f t="shared" si="10"/>
        <v>3.933333333333333E-3</v>
      </c>
      <c r="I72">
        <f t="shared" si="11"/>
        <v>-40112.954514705954</v>
      </c>
      <c r="J72" s="2">
        <f t="shared" si="12"/>
        <v>7.7202911966194211E-3</v>
      </c>
      <c r="K72" s="9">
        <f t="shared" si="13"/>
        <v>1349.1639585522325</v>
      </c>
    </row>
    <row r="73" spans="1:11" x14ac:dyDescent="0.3">
      <c r="A73" s="1">
        <v>41243</v>
      </c>
      <c r="B73">
        <v>1452.17</v>
      </c>
      <c r="C73" s="2">
        <f t="shared" si="9"/>
        <v>2.5674167620177712E-2</v>
      </c>
      <c r="D73">
        <v>4.024</v>
      </c>
      <c r="E73" s="2">
        <f t="shared" si="7"/>
        <v>4.8420907296484413E-2</v>
      </c>
      <c r="F73" s="3">
        <f t="shared" si="8"/>
        <v>1538.9644833344851</v>
      </c>
      <c r="G73" s="7">
        <v>4.4400000000000004</v>
      </c>
      <c r="H73" s="8">
        <f t="shared" si="10"/>
        <v>3.7000000000000002E-3</v>
      </c>
      <c r="I73">
        <f t="shared" si="11"/>
        <v>-40261.372446410365</v>
      </c>
      <c r="J73" s="2">
        <f t="shared" si="12"/>
        <v>2.3717544508604894E-2</v>
      </c>
      <c r="K73" s="9">
        <f t="shared" si="13"/>
        <v>1381.1628147886006</v>
      </c>
    </row>
    <row r="74" spans="1:11" x14ac:dyDescent="0.3">
      <c r="A74" s="1">
        <v>41274</v>
      </c>
      <c r="B74">
        <v>1474.35</v>
      </c>
      <c r="C74" s="2">
        <f t="shared" si="9"/>
        <v>1.5273693851270753E-2</v>
      </c>
      <c r="D74">
        <v>3.73</v>
      </c>
      <c r="E74" s="2">
        <f t="shared" si="7"/>
        <v>2.75380470736213E-2</v>
      </c>
      <c r="F74" s="3">
        <f t="shared" si="8"/>
        <v>1581.3445597211814</v>
      </c>
      <c r="G74" s="6">
        <v>3.98</v>
      </c>
      <c r="H74" s="8">
        <f t="shared" si="10"/>
        <v>3.3166666666666665E-3</v>
      </c>
      <c r="I74">
        <f t="shared" si="11"/>
        <v>-40394.905998357623</v>
      </c>
      <c r="J74" s="2">
        <f t="shared" si="12"/>
        <v>1.4245081383222266E-2</v>
      </c>
      <c r="K74" s="9">
        <f t="shared" si="13"/>
        <v>1400.8375914887445</v>
      </c>
    </row>
    <row r="75" spans="1:11" x14ac:dyDescent="0.3">
      <c r="A75" s="1">
        <v>41305</v>
      </c>
      <c r="B75">
        <v>1466.62</v>
      </c>
      <c r="C75" s="2">
        <f t="shared" si="9"/>
        <v>-5.2429884355817968E-3</v>
      </c>
      <c r="D75">
        <v>3.9239999999999999</v>
      </c>
      <c r="E75" s="2">
        <f t="shared" si="7"/>
        <v>-1.2702149292759859E-2</v>
      </c>
      <c r="F75" s="3">
        <f t="shared" si="8"/>
        <v>1561.2580850403094</v>
      </c>
      <c r="G75" s="7">
        <v>3.81</v>
      </c>
      <c r="H75" s="8">
        <f t="shared" si="10"/>
        <v>3.1749999999999999E-3</v>
      </c>
      <c r="I75">
        <f t="shared" si="11"/>
        <v>-40523.159824902403</v>
      </c>
      <c r="J75" s="2">
        <f t="shared" si="12"/>
        <v>-4.0078673111037365E-3</v>
      </c>
      <c r="K75" s="9">
        <f t="shared" si="13"/>
        <v>1395.2232202976516</v>
      </c>
    </row>
    <row r="76" spans="1:11" x14ac:dyDescent="0.3">
      <c r="A76" s="1">
        <v>41333</v>
      </c>
      <c r="B76">
        <v>1461.4</v>
      </c>
      <c r="C76" s="2">
        <f t="shared" si="9"/>
        <v>-3.5592041564957988E-3</v>
      </c>
      <c r="D76">
        <v>3.9740000000000002</v>
      </c>
      <c r="E76" s="2">
        <f t="shared" si="7"/>
        <v>-7.9510925724745685E-4</v>
      </c>
      <c r="F76" s="3">
        <f t="shared" si="8"/>
        <v>1560.0167142839414</v>
      </c>
      <c r="G76" s="6">
        <v>3.6</v>
      </c>
      <c r="H76" s="8">
        <f t="shared" si="10"/>
        <v>3.0000000000000001E-3</v>
      </c>
      <c r="I76">
        <f t="shared" si="11"/>
        <v>-40644.729304377106</v>
      </c>
      <c r="J76" s="2">
        <f t="shared" si="12"/>
        <v>1.3931647537166519E-3</v>
      </c>
      <c r="K76" s="9">
        <f t="shared" si="13"/>
        <v>1397.1669961117373</v>
      </c>
    </row>
    <row r="77" spans="1:11" x14ac:dyDescent="0.3">
      <c r="A77" s="1">
        <v>41364</v>
      </c>
      <c r="B77">
        <v>1475.08</v>
      </c>
      <c r="C77" s="2">
        <f t="shared" si="9"/>
        <v>9.3608868208565621E-3</v>
      </c>
      <c r="D77">
        <v>3.9489999999999998</v>
      </c>
      <c r="E77" s="2">
        <f t="shared" si="7"/>
        <v>5.3466585373534532E-3</v>
      </c>
      <c r="F77" s="3">
        <f t="shared" si="8"/>
        <v>1568.3575909677816</v>
      </c>
      <c r="G77" s="7">
        <v>3.39</v>
      </c>
      <c r="H77" s="8">
        <f t="shared" si="10"/>
        <v>2.8250000000000003E-3</v>
      </c>
      <c r="I77">
        <f t="shared" si="11"/>
        <v>-40759.550664661976</v>
      </c>
      <c r="J77" s="2">
        <f t="shared" si="12"/>
        <v>4.1790699572253776E-3</v>
      </c>
      <c r="K77" s="9">
        <f t="shared" si="13"/>
        <v>1403.0058547304145</v>
      </c>
    </row>
    <row r="78" spans="1:11" x14ac:dyDescent="0.3">
      <c r="A78" s="1">
        <v>41394</v>
      </c>
      <c r="B78">
        <v>1519.06</v>
      </c>
      <c r="C78" s="2">
        <f t="shared" si="9"/>
        <v>2.9815332049787147E-2</v>
      </c>
      <c r="D78">
        <v>3.262</v>
      </c>
      <c r="E78" s="2">
        <f t="shared" si="7"/>
        <v>6.1099060555251584E-2</v>
      </c>
      <c r="F78" s="3">
        <f t="shared" si="8"/>
        <v>1664.1827663906104</v>
      </c>
      <c r="G78" s="6">
        <v>3.02</v>
      </c>
      <c r="H78" s="8">
        <f t="shared" si="10"/>
        <v>2.5166666666666666E-3</v>
      </c>
      <c r="I78">
        <f t="shared" si="11"/>
        <v>-40862.128867168045</v>
      </c>
      <c r="J78" s="2">
        <f t="shared" si="12"/>
        <v>2.9468353447609348E-2</v>
      </c>
      <c r="K78" s="9">
        <f t="shared" si="13"/>
        <v>1444.3501271466757</v>
      </c>
    </row>
    <row r="79" spans="1:11" x14ac:dyDescent="0.3">
      <c r="A79" s="1">
        <v>41425</v>
      </c>
      <c r="B79">
        <v>1504.57</v>
      </c>
      <c r="C79" s="2">
        <f t="shared" si="9"/>
        <v>-9.5387937277000567E-3</v>
      </c>
      <c r="D79">
        <v>3.6160000000000001</v>
      </c>
      <c r="E79" s="2">
        <f t="shared" si="7"/>
        <v>-2.6562583870186219E-2</v>
      </c>
      <c r="F79" s="3">
        <f t="shared" si="8"/>
        <v>1619.9777720830414</v>
      </c>
      <c r="G79" s="7">
        <v>2.65</v>
      </c>
      <c r="H79" s="8">
        <f t="shared" si="10"/>
        <v>2.2083333333333334E-3</v>
      </c>
      <c r="I79">
        <f t="shared" si="11"/>
        <v>-40952.366068416377</v>
      </c>
      <c r="J79" s="2">
        <f t="shared" si="12"/>
        <v>-1.0294958927639441E-2</v>
      </c>
      <c r="K79" s="9">
        <f t="shared" si="13"/>
        <v>1429.4806019105699</v>
      </c>
    </row>
    <row r="80" spans="1:11" x14ac:dyDescent="0.3">
      <c r="A80" s="1">
        <v>41455</v>
      </c>
      <c r="B80">
        <v>1469.95</v>
      </c>
      <c r="C80" s="2">
        <f t="shared" si="9"/>
        <v>-2.3009896515283401E-2</v>
      </c>
      <c r="D80">
        <v>4.3460000000000001</v>
      </c>
      <c r="E80" s="2">
        <f t="shared" si="7"/>
        <v>-5.5292665474351722E-2</v>
      </c>
      <c r="F80" s="3">
        <f t="shared" si="8"/>
        <v>1530.4048830553681</v>
      </c>
      <c r="G80" s="6">
        <v>2.71</v>
      </c>
      <c r="H80" s="8">
        <f t="shared" si="10"/>
        <v>2.2583333333333331E-3</v>
      </c>
      <c r="I80">
        <f t="shared" si="11"/>
        <v>-41044.850161787544</v>
      </c>
      <c r="J80" s="2">
        <f t="shared" si="12"/>
        <v>-2.3326920817933586E-2</v>
      </c>
      <c r="K80" s="9">
        <f t="shared" si="13"/>
        <v>1396.1352210990299</v>
      </c>
    </row>
    <row r="81" spans="1:11" x14ac:dyDescent="0.3">
      <c r="A81" s="1">
        <v>41486</v>
      </c>
      <c r="B81">
        <v>1490.43</v>
      </c>
      <c r="C81" s="2">
        <f t="shared" si="9"/>
        <v>1.393244668186E-2</v>
      </c>
      <c r="D81">
        <v>4.0999999999999996</v>
      </c>
      <c r="E81" s="2">
        <f t="shared" si="7"/>
        <v>2.350176090906134E-2</v>
      </c>
      <c r="F81" s="3">
        <f t="shared" si="8"/>
        <v>1566.3720927109953</v>
      </c>
      <c r="G81" s="7">
        <v>2.74</v>
      </c>
      <c r="H81" s="8">
        <f t="shared" si="10"/>
        <v>2.2833333333333334E-3</v>
      </c>
      <c r="I81">
        <f t="shared" si="11"/>
        <v>-41138.56923632363</v>
      </c>
      <c r="J81" s="2">
        <f t="shared" si="12"/>
        <v>1.2414222418058712E-2</v>
      </c>
      <c r="K81" s="9">
        <f t="shared" si="13"/>
        <v>1413.467154259439</v>
      </c>
    </row>
    <row r="82" spans="1:11" x14ac:dyDescent="0.3">
      <c r="A82" s="1">
        <v>41517</v>
      </c>
      <c r="B82">
        <v>1473.91</v>
      </c>
      <c r="C82" s="2">
        <f t="shared" si="9"/>
        <v>-1.1084049569587306E-2</v>
      </c>
      <c r="D82">
        <v>4.4580000000000002</v>
      </c>
      <c r="E82" s="2">
        <f t="shared" si="7"/>
        <v>-2.5025550729645366E-2</v>
      </c>
      <c r="F82" s="3">
        <f t="shared" si="8"/>
        <v>1527.1727684433554</v>
      </c>
      <c r="G82" s="6">
        <v>2.77</v>
      </c>
      <c r="H82" s="8">
        <f t="shared" si="10"/>
        <v>2.3083333333333332E-3</v>
      </c>
      <c r="I82">
        <f t="shared" si="11"/>
        <v>-41233.530766977477</v>
      </c>
      <c r="J82" s="2">
        <f t="shared" si="12"/>
        <v>-9.5977608622937662E-3</v>
      </c>
      <c r="K82" s="9">
        <f t="shared" si="13"/>
        <v>1399.9010345261499</v>
      </c>
    </row>
    <row r="83" spans="1:11" x14ac:dyDescent="0.3">
      <c r="A83" s="1">
        <v>41547</v>
      </c>
      <c r="B83">
        <v>1477.42</v>
      </c>
      <c r="C83" s="2">
        <f t="shared" si="9"/>
        <v>2.3814208465917641E-3</v>
      </c>
      <c r="D83">
        <v>4.4989999999999997</v>
      </c>
      <c r="E83" s="2">
        <f t="shared" si="7"/>
        <v>4.639769756721074E-4</v>
      </c>
      <c r="F83" s="3">
        <f t="shared" si="8"/>
        <v>1527.8813414457863</v>
      </c>
      <c r="G83" s="7">
        <v>2.75</v>
      </c>
      <c r="H83" s="8">
        <f t="shared" si="10"/>
        <v>2.2916666666666667E-3</v>
      </c>
      <c r="I83">
        <f t="shared" si="11"/>
        <v>-41328.024274985131</v>
      </c>
      <c r="J83" s="2">
        <f t="shared" si="12"/>
        <v>1.9642861320013126E-3</v>
      </c>
      <c r="K83" s="9">
        <f t="shared" si="13"/>
        <v>1402.6508407144438</v>
      </c>
    </row>
    <row r="84" spans="1:11" x14ac:dyDescent="0.3">
      <c r="A84" s="1">
        <v>41578</v>
      </c>
      <c r="B84">
        <v>1502.11</v>
      </c>
      <c r="C84" s="2">
        <f t="shared" si="9"/>
        <v>1.6711564754775088E-2</v>
      </c>
      <c r="D84">
        <v>4.218</v>
      </c>
      <c r="E84" s="2">
        <f t="shared" si="7"/>
        <v>2.6330177327928722E-2</v>
      </c>
      <c r="F84" s="3">
        <f t="shared" si="8"/>
        <v>1568.1107281020875</v>
      </c>
      <c r="G84" s="6">
        <v>2.75</v>
      </c>
      <c r="H84" s="8">
        <f t="shared" si="10"/>
        <v>2.2916666666666667E-3</v>
      </c>
      <c r="I84">
        <f t="shared" si="11"/>
        <v>-41422.734330615305</v>
      </c>
      <c r="J84" s="2">
        <f t="shared" si="12"/>
        <v>1.3697191797972264E-2</v>
      </c>
      <c r="K84" s="9">
        <f t="shared" si="13"/>
        <v>1421.8632183052966</v>
      </c>
    </row>
    <row r="85" spans="1:11" x14ac:dyDescent="0.3">
      <c r="A85" s="1">
        <v>41608</v>
      </c>
      <c r="B85">
        <v>1491.73</v>
      </c>
      <c r="C85" s="2">
        <f t="shared" si="9"/>
        <v>-6.9102795401134731E-3</v>
      </c>
      <c r="D85">
        <v>4.5149999999999997</v>
      </c>
      <c r="E85" s="2">
        <f t="shared" si="7"/>
        <v>-2.0017245959863473E-2</v>
      </c>
      <c r="F85" s="3">
        <f t="shared" si="8"/>
        <v>1536.7214699653675</v>
      </c>
      <c r="G85" s="7">
        <v>2.75</v>
      </c>
      <c r="H85" s="8">
        <f t="shared" si="10"/>
        <v>2.2916666666666667E-3</v>
      </c>
      <c r="I85">
        <f t="shared" si="11"/>
        <v>-41517.661430122964</v>
      </c>
      <c r="J85" s="2">
        <f t="shared" si="12"/>
        <v>-7.3259943635410104E-3</v>
      </c>
      <c r="K85" s="9">
        <f t="shared" si="13"/>
        <v>1411.4466563822657</v>
      </c>
    </row>
    <row r="86" spans="1:11" x14ac:dyDescent="0.3">
      <c r="A86" s="1">
        <v>41639</v>
      </c>
      <c r="B86">
        <v>1503.62</v>
      </c>
      <c r="C86" s="2">
        <f t="shared" si="9"/>
        <v>7.9706113036539517E-3</v>
      </c>
      <c r="D86">
        <v>4.3559999999999999</v>
      </c>
      <c r="E86" s="2">
        <f t="shared" si="7"/>
        <v>1.6455989685176916E-2</v>
      </c>
      <c r="F86" s="3">
        <f t="shared" si="8"/>
        <v>1562.0097426241073</v>
      </c>
      <c r="G86" s="6">
        <v>2.75</v>
      </c>
      <c r="H86" s="8">
        <f t="shared" si="10"/>
        <v>2.2916666666666667E-3</v>
      </c>
      <c r="I86">
        <f t="shared" si="11"/>
        <v>-41612.806070900326</v>
      </c>
      <c r="J86" s="2">
        <f t="shared" si="12"/>
        <v>9.2182613573675298E-3</v>
      </c>
      <c r="K86" s="9">
        <f t="shared" si="13"/>
        <v>1424.4577405527798</v>
      </c>
    </row>
    <row r="87" spans="1:11" x14ac:dyDescent="0.3">
      <c r="A87" s="1">
        <v>41670</v>
      </c>
      <c r="B87">
        <v>1486.15</v>
      </c>
      <c r="C87" s="2">
        <f t="shared" si="9"/>
        <v>-1.1618627046727115E-2</v>
      </c>
      <c r="D87">
        <v>4.7560000000000002</v>
      </c>
      <c r="E87" s="2">
        <f t="shared" si="7"/>
        <v>-2.7704370138188071E-2</v>
      </c>
      <c r="F87" s="3">
        <f t="shared" si="8"/>
        <v>1518.7352465549932</v>
      </c>
      <c r="G87" s="7">
        <v>2.76</v>
      </c>
      <c r="H87" s="8">
        <f t="shared" si="10"/>
        <v>2.3E-3</v>
      </c>
      <c r="I87">
        <f t="shared" si="11"/>
        <v>-41708.515524863396</v>
      </c>
      <c r="J87" s="2">
        <f t="shared" si="12"/>
        <v>-1.0812873054597712E-2</v>
      </c>
      <c r="K87" s="9">
        <f t="shared" si="13"/>
        <v>1409.0552598325435</v>
      </c>
    </row>
    <row r="88" spans="1:11" x14ac:dyDescent="0.3">
      <c r="A88" s="1">
        <v>41698</v>
      </c>
      <c r="B88">
        <v>1508.39</v>
      </c>
      <c r="C88" s="2">
        <f t="shared" si="9"/>
        <v>1.4964842041516713E-2</v>
      </c>
      <c r="D88">
        <v>4.3810000000000002</v>
      </c>
      <c r="E88" s="2">
        <f t="shared" si="7"/>
        <v>3.3865261684042705E-2</v>
      </c>
      <c r="F88" s="3">
        <f t="shared" si="8"/>
        <v>1570.167613108357</v>
      </c>
      <c r="G88" s="6">
        <v>2.78</v>
      </c>
      <c r="H88" s="8">
        <f t="shared" si="10"/>
        <v>2.3166666666666665E-3</v>
      </c>
      <c r="I88">
        <f t="shared" si="11"/>
        <v>-41805.140252495999</v>
      </c>
      <c r="J88" s="2">
        <f t="shared" si="12"/>
        <v>1.7115105242213637E-2</v>
      </c>
      <c r="K88" s="9">
        <f t="shared" si="13"/>
        <v>1433.1713888966722</v>
      </c>
    </row>
    <row r="89" spans="1:11" x14ac:dyDescent="0.3">
      <c r="A89" s="1">
        <v>41729</v>
      </c>
      <c r="B89">
        <v>1519.4</v>
      </c>
      <c r="C89" s="2">
        <f t="shared" si="9"/>
        <v>7.2991732907272677E-3</v>
      </c>
      <c r="D89">
        <v>4.234</v>
      </c>
      <c r="E89" s="2">
        <f t="shared" si="7"/>
        <v>1.545466922975409E-2</v>
      </c>
      <c r="F89" s="3">
        <f t="shared" si="8"/>
        <v>1594.4340342042192</v>
      </c>
      <c r="G89" s="7">
        <v>2.79</v>
      </c>
      <c r="H89" s="8">
        <f t="shared" si="10"/>
        <v>2.3250000000000002E-3</v>
      </c>
      <c r="I89">
        <f t="shared" si="11"/>
        <v>-41902.337203583047</v>
      </c>
      <c r="J89" s="2">
        <f t="shared" si="12"/>
        <v>8.7640625077147587E-3</v>
      </c>
      <c r="K89" s="9">
        <f t="shared" si="13"/>
        <v>1445.7317925332311</v>
      </c>
    </row>
    <row r="90" spans="1:11" x14ac:dyDescent="0.3">
      <c r="A90" s="1">
        <v>41759</v>
      </c>
      <c r="B90">
        <v>1533.77</v>
      </c>
      <c r="C90" s="2">
        <f t="shared" si="9"/>
        <v>9.4576806634196764E-3</v>
      </c>
      <c r="D90">
        <v>4.0449999999999999</v>
      </c>
      <c r="E90" s="2">
        <f t="shared" si="7"/>
        <v>1.8842290957995479E-2</v>
      </c>
      <c r="F90" s="3">
        <f t="shared" si="8"/>
        <v>1624.4768241900256</v>
      </c>
      <c r="G90" s="6">
        <v>2.79</v>
      </c>
      <c r="H90" s="8">
        <f t="shared" si="10"/>
        <v>2.3250000000000002E-3</v>
      </c>
      <c r="I90">
        <f t="shared" si="11"/>
        <v>-41999.760137581376</v>
      </c>
      <c r="J90" s="2">
        <f t="shared" si="12"/>
        <v>1.0300687355128117E-2</v>
      </c>
      <c r="K90" s="9">
        <f t="shared" si="13"/>
        <v>1460.6238237274849</v>
      </c>
    </row>
    <row r="91" spans="1:11" x14ac:dyDescent="0.3">
      <c r="A91" s="1">
        <v>41790</v>
      </c>
      <c r="B91">
        <v>1553.96</v>
      </c>
      <c r="C91" s="2">
        <f t="shared" si="9"/>
        <v>1.316364252788893E-2</v>
      </c>
      <c r="D91">
        <v>3.702</v>
      </c>
      <c r="E91" s="2">
        <f t="shared" si="7"/>
        <v>3.1624426241762663E-2</v>
      </c>
      <c r="F91" s="3">
        <f t="shared" si="8"/>
        <v>1675.8499716980759</v>
      </c>
      <c r="G91" s="7">
        <v>2.8</v>
      </c>
      <c r="H91" s="8">
        <f t="shared" si="10"/>
        <v>2.3333333333333331E-3</v>
      </c>
      <c r="I91">
        <f t="shared" si="11"/>
        <v>-42097.759577902398</v>
      </c>
      <c r="J91" s="2">
        <f t="shared" si="12"/>
        <v>1.6098662529361058E-2</v>
      </c>
      <c r="K91" s="9">
        <f t="shared" si="13"/>
        <v>1484.1379137480187</v>
      </c>
    </row>
    <row r="92" spans="1:11" x14ac:dyDescent="0.3">
      <c r="A92" s="1">
        <v>41820</v>
      </c>
      <c r="B92">
        <v>1572.8</v>
      </c>
      <c r="C92" s="2">
        <f t="shared" si="9"/>
        <v>1.2123864192128408E-2</v>
      </c>
      <c r="D92">
        <v>3.4620000000000002</v>
      </c>
      <c r="E92" s="2">
        <f t="shared" si="7"/>
        <v>2.3084881522784869E-2</v>
      </c>
      <c r="F92" s="3">
        <f t="shared" si="8"/>
        <v>1714.5367697446884</v>
      </c>
      <c r="G92" s="6">
        <v>2.74</v>
      </c>
      <c r="H92" s="8">
        <f t="shared" si="10"/>
        <v>2.2833333333333334E-3</v>
      </c>
      <c r="I92">
        <f t="shared" si="11"/>
        <v>-42193.882795605277</v>
      </c>
      <c r="J92" s="2">
        <f t="shared" si="12"/>
        <v>1.2225125973793253E-2</v>
      </c>
      <c r="K92" s="9">
        <f t="shared" si="13"/>
        <v>1502.281686706071</v>
      </c>
    </row>
    <row r="93" spans="1:11" x14ac:dyDescent="0.3">
      <c r="A93" s="1">
        <v>41851</v>
      </c>
      <c r="B93">
        <v>1578.1</v>
      </c>
      <c r="C93" s="2">
        <f t="shared" si="9"/>
        <v>3.3697863682604634E-3</v>
      </c>
      <c r="D93">
        <v>3.4380000000000002</v>
      </c>
      <c r="E93" s="2">
        <f t="shared" si="7"/>
        <v>4.8873154163195671E-3</v>
      </c>
      <c r="F93" s="3">
        <f t="shared" si="8"/>
        <v>1722.9162517313084</v>
      </c>
      <c r="G93" s="7">
        <v>2.73</v>
      </c>
      <c r="H93" s="8">
        <f t="shared" si="10"/>
        <v>2.2750000000000001E-3</v>
      </c>
      <c r="I93">
        <f t="shared" si="11"/>
        <v>-42289.873878965278</v>
      </c>
      <c r="J93" s="2">
        <f t="shared" si="12"/>
        <v>3.9707119674933034E-3</v>
      </c>
      <c r="K93" s="9">
        <f t="shared" si="13"/>
        <v>1508.2468145780208</v>
      </c>
    </row>
    <row r="94" spans="1:11" x14ac:dyDescent="0.3">
      <c r="A94" s="1">
        <v>41882</v>
      </c>
      <c r="B94">
        <v>1599.98</v>
      </c>
      <c r="C94" s="2">
        <f t="shared" si="9"/>
        <v>1.3864774095431187E-2</v>
      </c>
      <c r="D94">
        <v>3.1339999999999999</v>
      </c>
      <c r="E94" s="2">
        <f t="shared" si="7"/>
        <v>2.8605356834077271E-2</v>
      </c>
      <c r="F94" s="3">
        <f t="shared" si="8"/>
        <v>1772.2008859073132</v>
      </c>
      <c r="G94" s="6">
        <v>2.62</v>
      </c>
      <c r="H94" s="8">
        <f t="shared" si="10"/>
        <v>2.1833333333333336E-3</v>
      </c>
      <c r="I94">
        <f t="shared" si="11"/>
        <v>-42382.206770267687</v>
      </c>
      <c r="J94" s="2">
        <f t="shared" si="12"/>
        <v>1.4729212974459534E-2</v>
      </c>
      <c r="K94" s="9">
        <f t="shared" si="13"/>
        <v>1530.4621031279908</v>
      </c>
    </row>
    <row r="95" spans="1:11" x14ac:dyDescent="0.3">
      <c r="A95" s="1">
        <v>41912</v>
      </c>
      <c r="B95">
        <v>1613.72</v>
      </c>
      <c r="C95" s="2">
        <f t="shared" si="9"/>
        <v>8.5876073450918966E-3</v>
      </c>
      <c r="D95">
        <v>3.07</v>
      </c>
      <c r="E95" s="2">
        <f t="shared" si="7"/>
        <v>8.0476451662698668E-3</v>
      </c>
      <c r="F95" s="3">
        <f t="shared" si="8"/>
        <v>1786.4629298004445</v>
      </c>
      <c r="G95" s="7">
        <v>2.23</v>
      </c>
      <c r="H95" s="8">
        <f t="shared" si="10"/>
        <v>1.8583333333333334E-3</v>
      </c>
      <c r="I95">
        <f t="shared" si="11"/>
        <v>-42460.967037849099</v>
      </c>
      <c r="J95" s="2">
        <f t="shared" si="12"/>
        <v>5.404237198279413E-3</v>
      </c>
      <c r="K95" s="9">
        <f t="shared" si="13"/>
        <v>1538.7330833562721</v>
      </c>
    </row>
    <row r="96" spans="1:11" x14ac:dyDescent="0.3">
      <c r="A96" s="1">
        <v>41943</v>
      </c>
      <c r="B96">
        <v>1643.73</v>
      </c>
      <c r="C96" s="2">
        <f t="shared" si="9"/>
        <v>1.8596782589296756E-2</v>
      </c>
      <c r="D96">
        <v>2.5619999999999998</v>
      </c>
      <c r="E96" s="2">
        <f t="shared" si="7"/>
        <v>4.6796387494147836E-2</v>
      </c>
      <c r="F96" s="3">
        <f t="shared" si="8"/>
        <v>1870.0629413073168</v>
      </c>
      <c r="G96" s="6">
        <v>1.94</v>
      </c>
      <c r="H96" s="8">
        <f t="shared" si="10"/>
        <v>1.6166666666666666E-3</v>
      </c>
      <c r="I96">
        <f t="shared" si="11"/>
        <v>-42529.612267893623</v>
      </c>
      <c r="J96" s="2">
        <f t="shared" si="12"/>
        <v>2.2980662502985777E-2</v>
      </c>
      <c r="K96" s="9">
        <f t="shared" si="13"/>
        <v>1574.0941890270612</v>
      </c>
    </row>
    <row r="97" spans="1:11" x14ac:dyDescent="0.3">
      <c r="A97" s="1">
        <v>41973</v>
      </c>
      <c r="B97">
        <v>1651.45</v>
      </c>
      <c r="C97" s="2">
        <f t="shared" si="9"/>
        <v>4.696635092138024E-3</v>
      </c>
      <c r="D97">
        <v>2.3969999999999998</v>
      </c>
      <c r="E97" s="2">
        <f t="shared" si="7"/>
        <v>1.6621395219712509E-2</v>
      </c>
      <c r="F97" s="3">
        <f t="shared" si="8"/>
        <v>1901.1459965405238</v>
      </c>
      <c r="G97" s="7">
        <v>2.0299999999999998</v>
      </c>
      <c r="H97" s="8">
        <f t="shared" si="10"/>
        <v>1.6916666666666664E-3</v>
      </c>
      <c r="I97">
        <f t="shared" si="11"/>
        <v>-42601.558195313475</v>
      </c>
      <c r="J97" s="2">
        <f t="shared" si="12"/>
        <v>9.2932892898395028E-3</v>
      </c>
      <c r="K97" s="9">
        <f t="shared" si="13"/>
        <v>1588.7227016951449</v>
      </c>
    </row>
    <row r="98" spans="1:11" x14ac:dyDescent="0.3">
      <c r="A98" s="1">
        <v>42004</v>
      </c>
      <c r="B98">
        <v>1645.73</v>
      </c>
      <c r="C98" s="2">
        <f t="shared" si="9"/>
        <v>-3.4636228768657462E-3</v>
      </c>
      <c r="D98">
        <v>2.5310000000000001</v>
      </c>
      <c r="E98" s="2">
        <f t="shared" si="7"/>
        <v>-9.6894725102451978E-3</v>
      </c>
      <c r="F98" s="3">
        <f t="shared" si="8"/>
        <v>1882.7248946690818</v>
      </c>
      <c r="G98" s="6">
        <v>2.04</v>
      </c>
      <c r="H98" s="8">
        <f t="shared" si="10"/>
        <v>1.7000000000000001E-3</v>
      </c>
      <c r="I98">
        <f t="shared" si="11"/>
        <v>-42673.980844245511</v>
      </c>
      <c r="J98" s="2">
        <f t="shared" si="12"/>
        <v>-2.6413174502842437E-3</v>
      </c>
      <c r="K98" s="9">
        <f t="shared" si="13"/>
        <v>1584.5263806994947</v>
      </c>
    </row>
    <row r="99" spans="1:11" x14ac:dyDescent="0.3">
      <c r="A99" s="1">
        <v>42035</v>
      </c>
      <c r="B99">
        <v>1679.35</v>
      </c>
      <c r="C99" s="2">
        <f t="shared" si="9"/>
        <v>2.0428624379454696E-2</v>
      </c>
      <c r="D99">
        <v>1.99</v>
      </c>
      <c r="E99" s="2">
        <f t="shared" si="7"/>
        <v>5.0578650543005539E-2</v>
      </c>
      <c r="F99" s="3">
        <f t="shared" si="8"/>
        <v>1977.9505791851661</v>
      </c>
      <c r="G99" s="7">
        <v>1.97</v>
      </c>
      <c r="H99" s="8">
        <f t="shared" si="10"/>
        <v>1.6416666666666667E-3</v>
      </c>
      <c r="I99">
        <f t="shared" si="11"/>
        <v>-42744.037296131486</v>
      </c>
      <c r="J99" s="2">
        <f t="shared" si="12"/>
        <v>2.4696296610500278E-2</v>
      </c>
      <c r="K99" s="9">
        <f t="shared" si="13"/>
        <v>1623.6583141844117</v>
      </c>
    </row>
    <row r="100" spans="1:11" x14ac:dyDescent="0.3">
      <c r="A100" s="1">
        <v>42063</v>
      </c>
      <c r="B100">
        <v>1670.02</v>
      </c>
      <c r="C100" s="2">
        <f t="shared" si="9"/>
        <v>-5.5557209634680138E-3</v>
      </c>
      <c r="D100">
        <v>2.1760000000000002</v>
      </c>
      <c r="E100" s="2">
        <f t="shared" si="7"/>
        <v>-1.4851988341844076E-2</v>
      </c>
      <c r="F100" s="3">
        <f t="shared" si="8"/>
        <v>1948.5740802423643</v>
      </c>
      <c r="G100" s="6">
        <v>1.79</v>
      </c>
      <c r="H100" s="8">
        <f t="shared" si="10"/>
        <v>1.4916666666666667E-3</v>
      </c>
      <c r="I100">
        <f t="shared" si="11"/>
        <v>-42807.797151764884</v>
      </c>
      <c r="J100" s="2">
        <f t="shared" si="12"/>
        <v>-4.9830340699015836E-3</v>
      </c>
      <c r="K100" s="9">
        <f t="shared" si="13"/>
        <v>1615.5675694869517</v>
      </c>
    </row>
    <row r="101" spans="1:11" x14ac:dyDescent="0.3">
      <c r="A101" s="1">
        <v>42094</v>
      </c>
      <c r="B101">
        <v>1668.12</v>
      </c>
      <c r="C101" s="2">
        <f t="shared" si="9"/>
        <v>-1.1377109256177631E-3</v>
      </c>
      <c r="D101">
        <v>2.331</v>
      </c>
      <c r="E101" s="2">
        <f t="shared" si="7"/>
        <v>-1.1839700291012556E-2</v>
      </c>
      <c r="F101" s="3">
        <f t="shared" si="8"/>
        <v>1925.5035471374592</v>
      </c>
      <c r="G101" s="7">
        <v>1.68</v>
      </c>
      <c r="H101" s="8">
        <f t="shared" si="10"/>
        <v>1.4E-3</v>
      </c>
      <c r="I101">
        <f t="shared" si="11"/>
        <v>-42867.72806777736</v>
      </c>
      <c r="J101" s="2">
        <f t="shared" si="12"/>
        <v>-3.616660537731276E-3</v>
      </c>
      <c r="K101" s="9">
        <f t="shared" si="13"/>
        <v>1609.7246100123498</v>
      </c>
    </row>
    <row r="102" spans="1:11" x14ac:dyDescent="0.3">
      <c r="A102" s="1">
        <v>42124</v>
      </c>
      <c r="B102">
        <v>1654.85</v>
      </c>
      <c r="C102" s="2">
        <f t="shared" si="9"/>
        <v>-7.9550631849027997E-3</v>
      </c>
      <c r="D102">
        <v>2.617</v>
      </c>
      <c r="E102" s="2">
        <f t="shared" si="7"/>
        <v>-2.2895676301379189E-2</v>
      </c>
      <c r="F102" s="3">
        <f t="shared" si="8"/>
        <v>1881.4178412050424</v>
      </c>
      <c r="G102" s="6">
        <v>1.68</v>
      </c>
      <c r="H102" s="8">
        <f t="shared" si="10"/>
        <v>1.4E-3</v>
      </c>
      <c r="I102">
        <f t="shared" si="11"/>
        <v>-42927.742887072251</v>
      </c>
      <c r="J102" s="2">
        <f t="shared" si="12"/>
        <v>-8.6316500533271633E-3</v>
      </c>
      <c r="K102" s="9">
        <f t="shared" si="13"/>
        <v>1595.8300304964948</v>
      </c>
    </row>
    <row r="103" spans="1:11" x14ac:dyDescent="0.3">
      <c r="A103" s="1">
        <v>42155</v>
      </c>
      <c r="B103">
        <v>1642.13</v>
      </c>
      <c r="C103" s="2">
        <f t="shared" si="9"/>
        <v>-7.6864972656131014E-3</v>
      </c>
      <c r="D103">
        <v>2.952</v>
      </c>
      <c r="E103" s="2">
        <f t="shared" si="7"/>
        <v>-2.6437802245788587E-2</v>
      </c>
      <c r="F103" s="3">
        <f t="shared" si="8"/>
        <v>1831.677288377565</v>
      </c>
      <c r="G103" s="7">
        <v>1.8</v>
      </c>
      <c r="H103" s="8">
        <f t="shared" si="10"/>
        <v>1.5E-3</v>
      </c>
      <c r="I103">
        <f t="shared" si="11"/>
        <v>-42992.134501402863</v>
      </c>
      <c r="J103" s="2">
        <f t="shared" si="12"/>
        <v>-1.0238357996386841E-2</v>
      </c>
      <c r="K103" s="9">
        <f t="shared" si="13"/>
        <v>1579.4913513428869</v>
      </c>
    </row>
    <row r="104" spans="1:11" x14ac:dyDescent="0.3">
      <c r="A104" s="1">
        <v>42185</v>
      </c>
      <c r="B104">
        <v>1627.12</v>
      </c>
      <c r="C104" s="2">
        <f t="shared" si="9"/>
        <v>-9.1405674337599052E-3</v>
      </c>
      <c r="D104">
        <v>3.3370000000000002</v>
      </c>
      <c r="E104" s="2">
        <f t="shared" si="7"/>
        <v>-2.981827236662617E-2</v>
      </c>
      <c r="F104" s="3">
        <f t="shared" si="8"/>
        <v>1777.0598361049595</v>
      </c>
      <c r="G104" s="6">
        <v>1.82</v>
      </c>
      <c r="H104" s="8">
        <f t="shared" si="10"/>
        <v>1.5166666666666668E-3</v>
      </c>
      <c r="I104">
        <f t="shared" si="11"/>
        <v>-43057.33923872999</v>
      </c>
      <c r="J104" s="2">
        <f t="shared" si="12"/>
        <v>-1.1771738875459809E-2</v>
      </c>
      <c r="K104" s="9">
        <f t="shared" si="13"/>
        <v>1560.8979915988314</v>
      </c>
    </row>
    <row r="105" spans="1:11" x14ac:dyDescent="0.3">
      <c r="A105" s="1">
        <v>42216</v>
      </c>
      <c r="B105">
        <v>1650.22</v>
      </c>
      <c r="C105" s="2">
        <f t="shared" si="9"/>
        <v>1.4196863169280816E-2</v>
      </c>
      <c r="D105">
        <v>2.956</v>
      </c>
      <c r="E105" s="2">
        <f t="shared" si="7"/>
        <v>3.5322817516802434E-2</v>
      </c>
      <c r="F105" s="3">
        <f t="shared" si="8"/>
        <v>1839.8305964121337</v>
      </c>
      <c r="G105" s="7">
        <v>1.83</v>
      </c>
      <c r="H105" s="8">
        <f t="shared" si="10"/>
        <v>1.5250000000000001E-3</v>
      </c>
      <c r="I105">
        <f t="shared" si="11"/>
        <v>-43123.00168106905</v>
      </c>
      <c r="J105" s="2">
        <f t="shared" si="12"/>
        <v>1.77762524093956E-2</v>
      </c>
      <c r="K105" s="9">
        <f t="shared" si="13"/>
        <v>1588.6449082828108</v>
      </c>
    </row>
    <row r="106" spans="1:11" x14ac:dyDescent="0.3">
      <c r="A106" s="1">
        <v>42247</v>
      </c>
      <c r="B106">
        <v>1652.59</v>
      </c>
      <c r="C106" s="2">
        <f t="shared" si="9"/>
        <v>1.4361721467439637E-3</v>
      </c>
      <c r="D106">
        <v>2.9609999999999999</v>
      </c>
      <c r="E106" s="2">
        <f t="shared" si="7"/>
        <v>2.0363777089028195E-3</v>
      </c>
      <c r="F106" s="3">
        <f t="shared" si="8"/>
        <v>1843.5771864268245</v>
      </c>
      <c r="G106" s="6">
        <v>1.83</v>
      </c>
      <c r="H106" s="8">
        <f t="shared" si="10"/>
        <v>1.5250000000000001E-3</v>
      </c>
      <c r="I106">
        <f t="shared" si="11"/>
        <v>-43188.764258632684</v>
      </c>
      <c r="J106" s="2">
        <f t="shared" si="12"/>
        <v>2.6775269335437006E-3</v>
      </c>
      <c r="K106" s="9">
        <f t="shared" si="13"/>
        <v>1592.8985478125751</v>
      </c>
    </row>
    <row r="107" spans="1:11" x14ac:dyDescent="0.3">
      <c r="A107" s="1">
        <v>42277</v>
      </c>
      <c r="B107">
        <v>1661.3</v>
      </c>
      <c r="C107" s="2">
        <f t="shared" si="9"/>
        <v>5.2705147677283293E-3</v>
      </c>
      <c r="D107">
        <v>2.8519999999999999</v>
      </c>
      <c r="E107" s="2">
        <f t="shared" si="7"/>
        <v>1.1824993494997372E-2</v>
      </c>
      <c r="F107" s="3">
        <f t="shared" si="8"/>
        <v>1865.3774746638474</v>
      </c>
      <c r="G107" s="7">
        <v>1.84</v>
      </c>
      <c r="H107" s="8">
        <f t="shared" si="10"/>
        <v>1.5333333333333334E-3</v>
      </c>
      <c r="I107">
        <f t="shared" si="11"/>
        <v>-43254.987030495926</v>
      </c>
      <c r="J107" s="2">
        <f t="shared" si="12"/>
        <v>7.1176419892774985E-3</v>
      </c>
      <c r="K107" s="9">
        <f t="shared" si="13"/>
        <v>1604.236229401145</v>
      </c>
    </row>
    <row r="108" spans="1:11" x14ac:dyDescent="0.3">
      <c r="A108" s="1">
        <v>42308</v>
      </c>
      <c r="B108">
        <v>1679.69</v>
      </c>
      <c r="C108" s="2">
        <f t="shared" si="9"/>
        <v>1.1069644254499522E-2</v>
      </c>
      <c r="D108">
        <v>2.68</v>
      </c>
      <c r="E108" s="2">
        <f t="shared" si="7"/>
        <v>1.726800478223886E-2</v>
      </c>
      <c r="F108" s="3">
        <f t="shared" si="8"/>
        <v>1897.5888218170235</v>
      </c>
      <c r="G108" s="6">
        <v>1.83</v>
      </c>
      <c r="H108" s="8">
        <f t="shared" si="10"/>
        <v>1.5250000000000001E-3</v>
      </c>
      <c r="I108">
        <f t="shared" si="11"/>
        <v>-43320.95088571743</v>
      </c>
      <c r="J108" s="2">
        <f t="shared" si="12"/>
        <v>9.5865913170610842E-3</v>
      </c>
      <c r="K108" s="9">
        <f t="shared" si="13"/>
        <v>1619.615386508437</v>
      </c>
    </row>
    <row r="109" spans="1:11" x14ac:dyDescent="0.3">
      <c r="A109" s="1">
        <v>42338</v>
      </c>
      <c r="B109">
        <v>1681.98</v>
      </c>
      <c r="C109" s="2">
        <f t="shared" si="9"/>
        <v>1.3633468080418432E-3</v>
      </c>
      <c r="D109">
        <v>2.6789999999999998</v>
      </c>
      <c r="E109" s="2">
        <f t="shared" si="7"/>
        <v>2.3199151445920901E-3</v>
      </c>
      <c r="F109" s="3">
        <f t="shared" si="8"/>
        <v>1901.9910668629655</v>
      </c>
      <c r="G109" s="7">
        <v>1.82</v>
      </c>
      <c r="H109" s="8">
        <f t="shared" si="10"/>
        <v>1.5166666666666668E-3</v>
      </c>
      <c r="I109">
        <f t="shared" si="11"/>
        <v>-43386.654327894095</v>
      </c>
      <c r="J109" s="2">
        <f t="shared" si="12"/>
        <v>2.8061394835281936E-3</v>
      </c>
      <c r="K109" s="9">
        <f t="shared" si="13"/>
        <v>1624.160253192648</v>
      </c>
    </row>
    <row r="110" spans="1:11" x14ac:dyDescent="0.3">
      <c r="A110" s="1">
        <v>42369</v>
      </c>
      <c r="B110">
        <v>1673.34</v>
      </c>
      <c r="C110" s="2">
        <f t="shared" si="9"/>
        <v>-5.1368030535441367E-3</v>
      </c>
      <c r="D110">
        <v>2.9390000000000001</v>
      </c>
      <c r="E110" s="2">
        <f t="shared" si="7"/>
        <v>-1.9993124428319659E-2</v>
      </c>
      <c r="F110" s="3">
        <f t="shared" si="8"/>
        <v>1863.9643228016216</v>
      </c>
      <c r="G110" s="6">
        <v>1.79</v>
      </c>
      <c r="H110" s="8">
        <f t="shared" si="10"/>
        <v>1.4916666666666667E-3</v>
      </c>
      <c r="I110">
        <f t="shared" si="11"/>
        <v>-43451.372753933203</v>
      </c>
      <c r="J110" s="2">
        <f t="shared" si="12"/>
        <v>-7.3150528394567583E-3</v>
      </c>
      <c r="K110" s="9">
        <f t="shared" si="13"/>
        <v>1612.2794351207983</v>
      </c>
    </row>
    <row r="111" spans="1:11" x14ac:dyDescent="0.3">
      <c r="A111" s="1">
        <v>42400</v>
      </c>
      <c r="B111">
        <v>1677.37</v>
      </c>
      <c r="C111" s="2">
        <f t="shared" si="9"/>
        <v>2.4083569388169135E-3</v>
      </c>
      <c r="D111">
        <v>3.153</v>
      </c>
      <c r="E111" s="2">
        <f t="shared" si="7"/>
        <v>-1.5653906727912396E-2</v>
      </c>
      <c r="F111" s="3">
        <f t="shared" si="8"/>
        <v>1834.7859991483285</v>
      </c>
      <c r="G111" s="7">
        <v>1.77</v>
      </c>
      <c r="H111" s="8">
        <f t="shared" si="10"/>
        <v>1.475E-3</v>
      </c>
      <c r="I111">
        <f t="shared" si="11"/>
        <v>-43515.463528745247</v>
      </c>
      <c r="J111" s="2">
        <f t="shared" si="12"/>
        <v>-5.3467841625867828E-3</v>
      </c>
      <c r="K111" s="9">
        <f t="shared" si="13"/>
        <v>1603.65892497143</v>
      </c>
    </row>
    <row r="112" spans="1:11" x14ac:dyDescent="0.3">
      <c r="A112" s="1">
        <v>42429</v>
      </c>
      <c r="B112">
        <v>1691.2</v>
      </c>
      <c r="C112" s="2">
        <f t="shared" si="9"/>
        <v>8.2450502870565767E-3</v>
      </c>
      <c r="D112">
        <v>2.9460000000000002</v>
      </c>
      <c r="E112" s="2">
        <f t="shared" si="7"/>
        <v>2.0316450703056873E-2</v>
      </c>
      <c r="F112" s="3">
        <f t="shared" si="8"/>
        <v>1872.0623384506846</v>
      </c>
      <c r="G112" s="6">
        <v>1.76</v>
      </c>
      <c r="H112" s="8">
        <f t="shared" si="10"/>
        <v>1.4666666666666667E-3</v>
      </c>
      <c r="I112">
        <f t="shared" si="11"/>
        <v>-43579.286208587408</v>
      </c>
      <c r="J112" s="2">
        <f t="shared" si="12"/>
        <v>1.0969366055123889E-2</v>
      </c>
      <c r="K112" s="9">
        <f t="shared" si="13"/>
        <v>1621.2500467470084</v>
      </c>
    </row>
    <row r="113" spans="1:11" x14ac:dyDescent="0.3">
      <c r="A113" s="1">
        <v>42460</v>
      </c>
      <c r="B113">
        <v>1698.4</v>
      </c>
      <c r="C113" s="2">
        <f t="shared" si="9"/>
        <v>4.2573320719017094E-3</v>
      </c>
      <c r="D113">
        <v>2.8279999999999998</v>
      </c>
      <c r="E113" s="2">
        <f t="shared" si="7"/>
        <v>1.2597071109489948E-2</v>
      </c>
      <c r="F113" s="3">
        <f t="shared" si="8"/>
        <v>1895.644840849546</v>
      </c>
      <c r="G113" s="7">
        <v>1.76</v>
      </c>
      <c r="H113" s="8">
        <f t="shared" si="10"/>
        <v>1.4666666666666667E-3</v>
      </c>
      <c r="I113">
        <f t="shared" si="11"/>
        <v>-43643.202495026671</v>
      </c>
      <c r="J113" s="2">
        <f t="shared" si="12"/>
        <v>7.4678563112221203E-3</v>
      </c>
      <c r="K113" s="9">
        <f t="shared" si="13"/>
        <v>1633.357309140677</v>
      </c>
    </row>
    <row r="114" spans="1:11" x14ac:dyDescent="0.3">
      <c r="A114" s="1">
        <v>42490</v>
      </c>
      <c r="B114">
        <v>1690.73</v>
      </c>
      <c r="C114" s="2">
        <f t="shared" si="9"/>
        <v>-4.5160150730099158E-3</v>
      </c>
      <c r="D114">
        <v>3.07</v>
      </c>
      <c r="E114" s="2">
        <f t="shared" si="7"/>
        <v>-1.8198127034957719E-2</v>
      </c>
      <c r="F114" s="3">
        <f t="shared" si="8"/>
        <v>1861.1476552226038</v>
      </c>
      <c r="G114" s="6">
        <v>1.76</v>
      </c>
      <c r="H114" s="8">
        <f t="shared" si="10"/>
        <v>1.4666666666666667E-3</v>
      </c>
      <c r="I114">
        <f t="shared" si="11"/>
        <v>-43707.212525352712</v>
      </c>
      <c r="J114" s="2">
        <f t="shared" si="12"/>
        <v>-6.5008422170936622E-3</v>
      </c>
      <c r="K114" s="9">
        <f t="shared" si="13"/>
        <v>1622.7391109898167</v>
      </c>
    </row>
    <row r="115" spans="1:11" x14ac:dyDescent="0.3">
      <c r="A115" s="1">
        <v>42521</v>
      </c>
      <c r="B115">
        <v>1688.95</v>
      </c>
      <c r="C115" s="2">
        <f t="shared" si="9"/>
        <v>-1.052799678245453E-3</v>
      </c>
      <c r="D115">
        <v>3.113</v>
      </c>
      <c r="E115" s="2">
        <f t="shared" si="7"/>
        <v>-1.0863048913171097E-3</v>
      </c>
      <c r="F115" s="3">
        <f t="shared" si="8"/>
        <v>1859.1258814212722</v>
      </c>
      <c r="G115" s="7">
        <v>1.76</v>
      </c>
      <c r="H115" s="8">
        <f t="shared" si="10"/>
        <v>1.4666666666666667E-3</v>
      </c>
      <c r="I115">
        <f t="shared" si="11"/>
        <v>-43771.316437056565</v>
      </c>
      <c r="J115" s="2">
        <f t="shared" si="12"/>
        <v>1.2610784457799023E-3</v>
      </c>
      <c r="K115" s="9">
        <f t="shared" si="13"/>
        <v>1624.7855123058098</v>
      </c>
    </row>
    <row r="116" spans="1:11" x14ac:dyDescent="0.3">
      <c r="A116" s="1">
        <v>42551</v>
      </c>
      <c r="B116">
        <v>1702.65</v>
      </c>
      <c r="C116" s="2">
        <f t="shared" si="9"/>
        <v>8.1115485952811817E-3</v>
      </c>
      <c r="D116">
        <v>2.9409999999999998</v>
      </c>
      <c r="E116" s="2">
        <f t="shared" si="7"/>
        <v>1.7295831784794873E-2</v>
      </c>
      <c r="F116" s="3">
        <f t="shared" si="8"/>
        <v>1891.2810099330929</v>
      </c>
      <c r="G116" s="6">
        <v>1.81</v>
      </c>
      <c r="H116" s="8">
        <f t="shared" si="10"/>
        <v>1.5083333333333333E-3</v>
      </c>
      <c r="I116">
        <f t="shared" si="11"/>
        <v>-43837.338172682452</v>
      </c>
      <c r="J116" s="2">
        <f t="shared" si="12"/>
        <v>9.5992136423933751E-3</v>
      </c>
      <c r="K116" s="9">
        <f t="shared" si="13"/>
        <v>1640.382175561499</v>
      </c>
    </row>
    <row r="117" spans="1:11" x14ac:dyDescent="0.3">
      <c r="A117" s="1">
        <v>42582</v>
      </c>
      <c r="B117">
        <v>1704.3</v>
      </c>
      <c r="C117" s="2">
        <f t="shared" si="9"/>
        <v>9.6907761430697903E-4</v>
      </c>
      <c r="D117">
        <v>2.9220000000000002</v>
      </c>
      <c r="E117" s="2">
        <f t="shared" si="7"/>
        <v>4.0763668296881911E-3</v>
      </c>
      <c r="F117" s="3">
        <f t="shared" si="8"/>
        <v>1898.9905651076033</v>
      </c>
      <c r="G117" s="7">
        <v>1.81</v>
      </c>
      <c r="H117" s="8">
        <f t="shared" si="10"/>
        <v>1.5083333333333333E-3</v>
      </c>
      <c r="I117">
        <f t="shared" si="11"/>
        <v>-43903.459491092908</v>
      </c>
      <c r="J117" s="2">
        <f t="shared" si="12"/>
        <v>3.6028657768150374E-3</v>
      </c>
      <c r="K117" s="9">
        <f t="shared" si="13"/>
        <v>1646.2922523627269</v>
      </c>
    </row>
    <row r="118" spans="1:11" x14ac:dyDescent="0.3">
      <c r="A118" s="1">
        <v>42613</v>
      </c>
      <c r="B118">
        <v>1714.32</v>
      </c>
      <c r="C118" s="2">
        <f t="shared" si="9"/>
        <v>5.8792466115120678E-3</v>
      </c>
      <c r="D118">
        <v>2.7839999999999998</v>
      </c>
      <c r="E118" s="2">
        <f t="shared" si="7"/>
        <v>1.4321728682614755E-2</v>
      </c>
      <c r="F118" s="3">
        <f t="shared" si="8"/>
        <v>1926.1873927519196</v>
      </c>
      <c r="G118" s="6">
        <v>1.81</v>
      </c>
      <c r="H118" s="8">
        <f t="shared" si="10"/>
        <v>1.5083333333333333E-3</v>
      </c>
      <c r="I118">
        <f t="shared" si="11"/>
        <v>-43969.680542491966</v>
      </c>
      <c r="J118" s="2">
        <f t="shared" si="12"/>
        <v>8.2501607987774551E-3</v>
      </c>
      <c r="K118" s="9">
        <f t="shared" si="13"/>
        <v>1659.874428166501</v>
      </c>
    </row>
    <row r="119" spans="1:11" x14ac:dyDescent="0.3">
      <c r="A119" s="1">
        <v>42643</v>
      </c>
      <c r="B119">
        <v>1707.51</v>
      </c>
      <c r="C119" s="2">
        <f t="shared" si="9"/>
        <v>-3.9724205515889732E-3</v>
      </c>
      <c r="D119">
        <v>2.919</v>
      </c>
      <c r="E119" s="2">
        <f t="shared" si="7"/>
        <v>-9.231541251817011E-3</v>
      </c>
      <c r="F119" s="3">
        <f t="shared" si="8"/>
        <v>1908.4057143770003</v>
      </c>
      <c r="G119" s="7">
        <v>1.81</v>
      </c>
      <c r="H119" s="8">
        <f t="shared" si="10"/>
        <v>1.5083333333333333E-3</v>
      </c>
      <c r="I119">
        <f t="shared" si="11"/>
        <v>-44036.001477310223</v>
      </c>
      <c r="J119" s="2">
        <f t="shared" si="12"/>
        <v>-2.4335998812765273E-3</v>
      </c>
      <c r="K119" s="9">
        <f t="shared" si="13"/>
        <v>1655.8349579551812</v>
      </c>
    </row>
    <row r="120" spans="1:11" x14ac:dyDescent="0.3">
      <c r="A120" s="1">
        <v>42674</v>
      </c>
      <c r="B120">
        <v>1699.87</v>
      </c>
      <c r="C120" s="2">
        <f t="shared" si="9"/>
        <v>-4.4743515411330703E-3</v>
      </c>
      <c r="D120">
        <v>3.1150000000000002</v>
      </c>
      <c r="E120" s="2">
        <f t="shared" si="7"/>
        <v>-1.4178648201237324E-2</v>
      </c>
      <c r="F120" s="3">
        <f t="shared" si="8"/>
        <v>1881.3471011276176</v>
      </c>
      <c r="G120" s="6">
        <v>1.84</v>
      </c>
      <c r="H120" s="8">
        <f t="shared" si="10"/>
        <v>1.5333333333333334E-3</v>
      </c>
      <c r="I120">
        <f t="shared" si="11"/>
        <v>-44103.523346242102</v>
      </c>
      <c r="J120" s="2">
        <f t="shared" si="12"/>
        <v>-4.6776070553705756E-3</v>
      </c>
      <c r="K120" s="9">
        <f t="shared" si="13"/>
        <v>1648.0896126733207</v>
      </c>
    </row>
    <row r="121" spans="1:11" x14ac:dyDescent="0.3">
      <c r="A121" s="1">
        <v>42704</v>
      </c>
      <c r="B121">
        <v>1674.77</v>
      </c>
      <c r="C121" s="2">
        <f t="shared" si="9"/>
        <v>-1.4765835034443731E-2</v>
      </c>
      <c r="D121">
        <v>3.6459999999999999</v>
      </c>
      <c r="E121" s="2">
        <f t="shared" si="7"/>
        <v>-4.1261983625468644E-2</v>
      </c>
      <c r="F121" s="3">
        <f t="shared" si="8"/>
        <v>1803.718987847067</v>
      </c>
      <c r="G121" s="7">
        <v>1.85</v>
      </c>
      <c r="H121" s="8">
        <f t="shared" si="10"/>
        <v>1.5416666666666667E-3</v>
      </c>
      <c r="I121">
        <f t="shared" si="11"/>
        <v>-44171.51627806756</v>
      </c>
      <c r="J121" s="2">
        <f t="shared" si="12"/>
        <v>-1.6962605057585192E-2</v>
      </c>
      <c r="K121" s="9">
        <f t="shared" si="13"/>
        <v>1620.1337194740347</v>
      </c>
    </row>
    <row r="122" spans="1:11" x14ac:dyDescent="0.3">
      <c r="A122" s="1">
        <v>42735</v>
      </c>
      <c r="B122">
        <v>1677.54</v>
      </c>
      <c r="C122" s="2">
        <f t="shared" si="9"/>
        <v>1.65395845399674E-3</v>
      </c>
      <c r="D122">
        <v>3.6309999999999998</v>
      </c>
      <c r="E122" s="2">
        <f t="shared" si="7"/>
        <v>4.278151972810864E-3</v>
      </c>
      <c r="F122" s="3">
        <f t="shared" si="8"/>
        <v>1811.4355717933211</v>
      </c>
      <c r="G122" s="6">
        <v>1.85</v>
      </c>
      <c r="H122" s="8">
        <f t="shared" si="10"/>
        <v>1.5416666666666667E-3</v>
      </c>
      <c r="I122">
        <f t="shared" si="11"/>
        <v>-44239.614032329584</v>
      </c>
      <c r="J122" s="2">
        <f t="shared" si="12"/>
        <v>3.6943954957846126E-3</v>
      </c>
      <c r="K122" s="9">
        <f t="shared" si="13"/>
        <v>1626.1191341898284</v>
      </c>
    </row>
    <row r="123" spans="1:11" x14ac:dyDescent="0.3">
      <c r="A123" s="1">
        <v>42766</v>
      </c>
      <c r="B123">
        <v>1675.33</v>
      </c>
      <c r="C123" s="2">
        <f t="shared" si="9"/>
        <v>-1.317405248161041E-3</v>
      </c>
      <c r="D123">
        <v>3.8719999999999999</v>
      </c>
      <c r="E123" s="2">
        <f t="shared" si="7"/>
        <v>-1.6664108631058445E-2</v>
      </c>
      <c r="F123" s="3">
        <f t="shared" si="8"/>
        <v>1781.2496126467936</v>
      </c>
      <c r="G123" s="7">
        <v>1.85</v>
      </c>
      <c r="H123" s="8">
        <f t="shared" si="10"/>
        <v>1.5416666666666667E-3</v>
      </c>
      <c r="I123">
        <f t="shared" si="11"/>
        <v>-44307.816770629433</v>
      </c>
      <c r="J123" s="2">
        <f t="shared" si="12"/>
        <v>-5.8050116359606553E-3</v>
      </c>
      <c r="K123" s="9">
        <f t="shared" si="13"/>
        <v>1616.6794936943982</v>
      </c>
    </row>
    <row r="124" spans="1:11" x14ac:dyDescent="0.3">
      <c r="A124" s="1">
        <v>42794</v>
      </c>
      <c r="B124">
        <v>1681.85</v>
      </c>
      <c r="C124" s="2">
        <f t="shared" si="9"/>
        <v>3.8917705765431077E-3</v>
      </c>
      <c r="D124">
        <v>3.8210000000000002</v>
      </c>
      <c r="E124" s="2">
        <f t="shared" si="7"/>
        <v>7.4036416982312227E-3</v>
      </c>
      <c r="F124" s="3">
        <f t="shared" si="8"/>
        <v>1794.4373465539436</v>
      </c>
      <c r="G124" s="6">
        <v>1.85</v>
      </c>
      <c r="H124" s="8">
        <f t="shared" si="10"/>
        <v>1.5416666666666667E-3</v>
      </c>
      <c r="I124">
        <f t="shared" si="11"/>
        <v>-44376.124654817489</v>
      </c>
      <c r="J124" s="2">
        <f t="shared" si="12"/>
        <v>5.1121172952339573E-3</v>
      </c>
      <c r="K124" s="9">
        <f t="shared" si="13"/>
        <v>1624.9441488949633</v>
      </c>
    </row>
    <row r="125" spans="1:11" x14ac:dyDescent="0.3">
      <c r="A125" s="1">
        <v>42825</v>
      </c>
      <c r="B125">
        <v>1704.2</v>
      </c>
      <c r="C125" s="2">
        <f t="shared" si="9"/>
        <v>1.3288937776853027E-2</v>
      </c>
      <c r="D125">
        <v>3.5070000000000001</v>
      </c>
      <c r="E125" s="2">
        <f t="shared" si="7"/>
        <v>2.9293724461470064E-2</v>
      </c>
      <c r="F125" s="3">
        <f t="shared" si="8"/>
        <v>1847.0030997472666</v>
      </c>
      <c r="G125" s="7">
        <v>1.85</v>
      </c>
      <c r="H125" s="8">
        <f t="shared" si="10"/>
        <v>1.5416666666666667E-3</v>
      </c>
      <c r="I125">
        <f t="shared" si="11"/>
        <v>-44444.53784699367</v>
      </c>
      <c r="J125" s="2">
        <f t="shared" si="12"/>
        <v>1.5041456455361948E-2</v>
      </c>
      <c r="K125" s="9">
        <f t="shared" si="13"/>
        <v>1649.3856755529623</v>
      </c>
    </row>
    <row r="126" spans="1:11" x14ac:dyDescent="0.3">
      <c r="A126" s="1">
        <v>42855</v>
      </c>
      <c r="B126">
        <v>1709.72</v>
      </c>
      <c r="C126" s="2">
        <f t="shared" si="9"/>
        <v>3.2390564487736473E-3</v>
      </c>
      <c r="D126">
        <v>3.4420000000000002</v>
      </c>
      <c r="E126" s="2">
        <f t="shared" si="7"/>
        <v>8.3443863536341641E-3</v>
      </c>
      <c r="F126" s="3">
        <f t="shared" si="8"/>
        <v>1862.4152072079175</v>
      </c>
      <c r="G126" s="6">
        <v>1.85</v>
      </c>
      <c r="H126" s="8">
        <f t="shared" si="10"/>
        <v>1.5416666666666667E-3</v>
      </c>
      <c r="I126">
        <f t="shared" si="11"/>
        <v>-44513.056509507791</v>
      </c>
      <c r="J126" s="2">
        <f t="shared" si="12"/>
        <v>5.53883896858735E-3</v>
      </c>
      <c r="K126" s="9">
        <f t="shared" si="13"/>
        <v>1658.5213572069447</v>
      </c>
    </row>
    <row r="127" spans="1:11" x14ac:dyDescent="0.3">
      <c r="A127" s="1">
        <v>42886</v>
      </c>
      <c r="B127">
        <v>1726.53</v>
      </c>
      <c r="C127" s="2">
        <f t="shared" si="9"/>
        <v>9.8320192780103621E-3</v>
      </c>
      <c r="D127">
        <v>3.246</v>
      </c>
      <c r="E127" s="2">
        <f t="shared" si="7"/>
        <v>1.9373772867157774E-2</v>
      </c>
      <c r="F127" s="3">
        <f t="shared" si="8"/>
        <v>1898.4972164167041</v>
      </c>
      <c r="G127" s="7">
        <v>1.85</v>
      </c>
      <c r="H127" s="8">
        <f t="shared" si="10"/>
        <v>1.5416666666666667E-3</v>
      </c>
      <c r="I127">
        <f t="shared" si="11"/>
        <v>-44581.680804959957</v>
      </c>
      <c r="J127" s="2">
        <f t="shared" si="12"/>
        <v>1.0541767491307738E-2</v>
      </c>
      <c r="K127" s="9">
        <f t="shared" si="13"/>
        <v>1676.0051037339886</v>
      </c>
    </row>
    <row r="128" spans="1:11" x14ac:dyDescent="0.3">
      <c r="A128" s="1">
        <v>42916</v>
      </c>
      <c r="B128">
        <v>1728.79</v>
      </c>
      <c r="C128" s="2">
        <f t="shared" si="9"/>
        <v>1.3089839157154337E-3</v>
      </c>
      <c r="D128">
        <v>3.3069999999999999</v>
      </c>
      <c r="E128" s="2">
        <f t="shared" si="7"/>
        <v>-2.4166798923041652E-3</v>
      </c>
      <c r="F128" s="3">
        <f t="shared" si="8"/>
        <v>1893.9091563681943</v>
      </c>
      <c r="G128" s="6">
        <v>1.85</v>
      </c>
      <c r="H128" s="8">
        <f t="shared" si="10"/>
        <v>1.5416666666666667E-3</v>
      </c>
      <c r="I128">
        <f t="shared" si="11"/>
        <v>-44650.410896200941</v>
      </c>
      <c r="J128" s="2">
        <f t="shared" si="12"/>
        <v>6.5762049005486044E-4</v>
      </c>
      <c r="K128" s="9">
        <f t="shared" si="13"/>
        <v>1677.1072790316405</v>
      </c>
    </row>
    <row r="129" spans="1:11" x14ac:dyDescent="0.3">
      <c r="A129" s="1">
        <v>42947</v>
      </c>
      <c r="B129">
        <v>1730.99</v>
      </c>
      <c r="C129" s="2">
        <f t="shared" si="9"/>
        <v>1.2725663614436833E-3</v>
      </c>
      <c r="D129">
        <v>3.3860000000000001</v>
      </c>
      <c r="E129" s="2">
        <f t="shared" si="7"/>
        <v>-3.8517634598358016E-3</v>
      </c>
      <c r="F129" s="3">
        <f t="shared" si="8"/>
        <v>1886.6142662834468</v>
      </c>
      <c r="G129" s="7">
        <v>1.85</v>
      </c>
      <c r="H129" s="8">
        <f t="shared" si="10"/>
        <v>1.5416666666666667E-3</v>
      </c>
      <c r="I129">
        <f t="shared" si="11"/>
        <v>-44719.246946332591</v>
      </c>
      <c r="J129" s="2">
        <f t="shared" si="12"/>
        <v>6.6667399357483136E-6</v>
      </c>
      <c r="K129" s="9">
        <f t="shared" si="13"/>
        <v>1677.1184598697139</v>
      </c>
    </row>
    <row r="130" spans="1:11" x14ac:dyDescent="0.3">
      <c r="A130" s="1">
        <v>42978</v>
      </c>
      <c r="B130">
        <v>1740.33</v>
      </c>
      <c r="C130" s="2">
        <f t="shared" si="9"/>
        <v>5.3957561857664871E-3</v>
      </c>
      <c r="D130">
        <v>3.2959999999999998</v>
      </c>
      <c r="E130" s="2">
        <f t="shared" si="7"/>
        <v>1.0382285127235436E-2</v>
      </c>
      <c r="F130" s="3">
        <f t="shared" si="8"/>
        <v>1906.2016335211117</v>
      </c>
      <c r="G130" s="6">
        <v>1.85</v>
      </c>
      <c r="H130" s="8">
        <f t="shared" si="10"/>
        <v>1.5416666666666667E-3</v>
      </c>
      <c r="I130">
        <f t="shared" si="11"/>
        <v>-44788.189118708193</v>
      </c>
      <c r="J130" s="2">
        <f t="shared" si="12"/>
        <v>6.4632296306033742E-3</v>
      </c>
      <c r="K130" s="9">
        <f t="shared" si="13"/>
        <v>1687.9580615935756</v>
      </c>
    </row>
    <row r="131" spans="1:11" x14ac:dyDescent="0.3">
      <c r="A131" s="1">
        <v>43008</v>
      </c>
      <c r="B131">
        <v>1739.29</v>
      </c>
      <c r="C131" s="2">
        <f t="shared" si="9"/>
        <v>-5.9758781380536696E-4</v>
      </c>
      <c r="D131">
        <v>3.3809999999999998</v>
      </c>
      <c r="E131" s="2">
        <f t="shared" ref="E131:E194" si="14">D130/1200+((D130/D131)*(1-(1+D131/200)^(-2*(10-(1/12))))+(1+D131/200)^(-2*(10-(1/12)))-1)</f>
        <v>-4.3644980533759179E-3</v>
      </c>
      <c r="F131" s="3">
        <f t="shared" ref="F131:F194" si="15">F130*(1+E131)</f>
        <v>1897.8820202022669</v>
      </c>
      <c r="G131" s="7">
        <v>1.85</v>
      </c>
      <c r="H131" s="8">
        <f t="shared" si="10"/>
        <v>1.5416666666666667E-3</v>
      </c>
      <c r="I131">
        <f t="shared" si="11"/>
        <v>-44857.237576932872</v>
      </c>
      <c r="J131" s="2">
        <f t="shared" si="12"/>
        <v>-2.2590961591704745E-4</v>
      </c>
      <c r="K131" s="9">
        <f t="shared" si="13"/>
        <v>1687.5767356361969</v>
      </c>
    </row>
    <row r="132" spans="1:11" x14ac:dyDescent="0.3">
      <c r="A132" s="1">
        <v>43039</v>
      </c>
      <c r="B132">
        <v>1742.87</v>
      </c>
      <c r="C132" s="2">
        <f t="shared" ref="C132:C195" si="16">B132/B131-1</f>
        <v>2.0583111499519191E-3</v>
      </c>
      <c r="D132">
        <v>3.4430000000000001</v>
      </c>
      <c r="E132" s="2">
        <f t="shared" si="14"/>
        <v>-2.3538948101573818E-3</v>
      </c>
      <c r="F132" s="3">
        <f t="shared" si="15"/>
        <v>1893.4146055646218</v>
      </c>
      <c r="G132" s="6">
        <v>1.85</v>
      </c>
      <c r="H132" s="8">
        <f t="shared" ref="H132:H195" si="17">I361*E132+(1-I361)*G132/1200</f>
        <v>1.5416666666666667E-3</v>
      </c>
      <c r="I132">
        <f t="shared" ref="I132:I195" si="18">(1+H132)*I131</f>
        <v>-44926.39248486398</v>
      </c>
      <c r="J132" s="2">
        <f t="shared" ref="J132:J195" si="19">$J$236+E132*$I$236</f>
        <v>6.8609979648666798E-4</v>
      </c>
      <c r="K132" s="9">
        <f t="shared" ref="K132:K195" si="20">K131*(1+J132)</f>
        <v>1688.7345816910724</v>
      </c>
    </row>
    <row r="133" spans="1:11" x14ac:dyDescent="0.3">
      <c r="A133" s="1">
        <v>43069</v>
      </c>
      <c r="B133">
        <v>1751.24</v>
      </c>
      <c r="C133" s="2">
        <f t="shared" si="16"/>
        <v>4.8024235886785505E-3</v>
      </c>
      <c r="D133">
        <v>3.343</v>
      </c>
      <c r="E133" s="2">
        <f t="shared" si="14"/>
        <v>1.125069064267966E-2</v>
      </c>
      <c r="F133" s="3">
        <f t="shared" si="15"/>
        <v>1914.7168275501608</v>
      </c>
      <c r="G133" s="7">
        <v>1.85</v>
      </c>
      <c r="H133" s="8">
        <f t="shared" si="17"/>
        <v>1.5416666666666667E-3</v>
      </c>
      <c r="I133">
        <f t="shared" si="18"/>
        <v>-44995.654006611483</v>
      </c>
      <c r="J133" s="2">
        <f t="shared" si="19"/>
        <v>6.8571382779407889E-3</v>
      </c>
      <c r="K133" s="9">
        <f t="shared" si="20"/>
        <v>1700.3144682324685</v>
      </c>
    </row>
    <row r="134" spans="1:11" x14ac:dyDescent="0.3">
      <c r="A134" s="1">
        <v>43100</v>
      </c>
      <c r="B134">
        <v>1757.58</v>
      </c>
      <c r="C134" s="2">
        <f t="shared" si="16"/>
        <v>3.6202919074483919E-3</v>
      </c>
      <c r="D134">
        <v>3.302</v>
      </c>
      <c r="E134" s="2">
        <f t="shared" si="14"/>
        <v>6.2291106324686273E-3</v>
      </c>
      <c r="F134" s="3">
        <f t="shared" si="15"/>
        <v>1926.6438104988199</v>
      </c>
      <c r="G134" s="6">
        <v>1.85</v>
      </c>
      <c r="H134" s="8">
        <f t="shared" si="17"/>
        <v>1.5416666666666667E-3</v>
      </c>
      <c r="I134">
        <f t="shared" si="18"/>
        <v>-45065.022306538347</v>
      </c>
      <c r="J134" s="2">
        <f t="shared" si="19"/>
        <v>4.5793501315735006E-3</v>
      </c>
      <c r="K134" s="9">
        <f t="shared" si="20"/>
        <v>1708.1008035162849</v>
      </c>
    </row>
    <row r="135" spans="1:11" x14ac:dyDescent="0.3">
      <c r="A135" s="1">
        <v>43131</v>
      </c>
      <c r="B135">
        <v>1757.55</v>
      </c>
      <c r="C135" s="2">
        <f t="shared" si="16"/>
        <v>-1.7068924316410161E-5</v>
      </c>
      <c r="D135">
        <v>3.464</v>
      </c>
      <c r="E135" s="2">
        <f t="shared" si="14"/>
        <v>-1.0746945458856058E-2</v>
      </c>
      <c r="F135" s="3">
        <f t="shared" si="15"/>
        <v>1905.9382745487464</v>
      </c>
      <c r="G135" s="7">
        <v>1.85</v>
      </c>
      <c r="H135" s="8">
        <f t="shared" si="17"/>
        <v>1.5416666666666667E-3</v>
      </c>
      <c r="I135">
        <f t="shared" si="18"/>
        <v>-45134.49754926093</v>
      </c>
      <c r="J135" s="2">
        <f t="shared" si="19"/>
        <v>-3.1209870647386506E-3</v>
      </c>
      <c r="K135" s="9">
        <f t="shared" si="20"/>
        <v>1702.769843003241</v>
      </c>
    </row>
    <row r="136" spans="1:11" x14ac:dyDescent="0.3">
      <c r="A136" s="1">
        <v>43159</v>
      </c>
      <c r="B136">
        <v>1769.15</v>
      </c>
      <c r="C136" s="2">
        <f t="shared" si="16"/>
        <v>6.6000967255555043E-3</v>
      </c>
      <c r="D136">
        <v>3.3759999999999999</v>
      </c>
      <c r="E136" s="2">
        <f t="shared" si="14"/>
        <v>1.0250600312461351E-2</v>
      </c>
      <c r="F136" s="3">
        <f t="shared" si="15"/>
        <v>1925.475286021368</v>
      </c>
      <c r="G136" s="6">
        <v>1.85</v>
      </c>
      <c r="H136" s="8">
        <f t="shared" si="17"/>
        <v>1.5416666666666667E-3</v>
      </c>
      <c r="I136">
        <f t="shared" si="18"/>
        <v>-45204.079899649376</v>
      </c>
      <c r="J136" s="2">
        <f t="shared" si="19"/>
        <v>6.4034974129469685E-3</v>
      </c>
      <c r="K136" s="9">
        <f t="shared" si="20"/>
        <v>1713.6735252877563</v>
      </c>
    </row>
    <row r="137" spans="1:11" x14ac:dyDescent="0.3">
      <c r="A137" s="1">
        <v>43190</v>
      </c>
      <c r="B137">
        <v>1786.13</v>
      </c>
      <c r="C137" s="2">
        <f t="shared" si="16"/>
        <v>9.5978294661278607E-3</v>
      </c>
      <c r="D137">
        <v>3.1739999999999999</v>
      </c>
      <c r="E137" s="2">
        <f t="shared" si="14"/>
        <v>1.9883796032373668E-2</v>
      </c>
      <c r="F137" s="3">
        <f t="shared" si="15"/>
        <v>1963.7610438739932</v>
      </c>
      <c r="G137" s="7">
        <v>1.82</v>
      </c>
      <c r="H137" s="8">
        <f t="shared" si="17"/>
        <v>1.5166666666666668E-3</v>
      </c>
      <c r="I137">
        <f t="shared" si="18"/>
        <v>-45272.639420830506</v>
      </c>
      <c r="J137" s="2">
        <f t="shared" si="19"/>
        <v>1.0773113943567624E-2</v>
      </c>
      <c r="K137" s="9">
        <f t="shared" si="20"/>
        <v>1732.1351254377564</v>
      </c>
    </row>
    <row r="138" spans="1:11" x14ac:dyDescent="0.3">
      <c r="A138" s="1">
        <v>43220</v>
      </c>
      <c r="B138">
        <v>1791.45</v>
      </c>
      <c r="C138" s="2">
        <f t="shared" si="16"/>
        <v>2.9785066036627228E-3</v>
      </c>
      <c r="D138">
        <v>3.0870000000000002</v>
      </c>
      <c r="E138" s="2">
        <f t="shared" si="14"/>
        <v>1.0028400668517836E-2</v>
      </c>
      <c r="F138" s="3">
        <f t="shared" si="15"/>
        <v>1983.4544264391884</v>
      </c>
      <c r="G138" s="6">
        <v>1.82</v>
      </c>
      <c r="H138" s="8">
        <f t="shared" si="17"/>
        <v>1.5166666666666668E-3</v>
      </c>
      <c r="I138">
        <f t="shared" si="18"/>
        <v>-45341.302923952098</v>
      </c>
      <c r="J138" s="2">
        <f t="shared" si="19"/>
        <v>6.3027076786258181E-3</v>
      </c>
      <c r="K138" s="9">
        <f t="shared" si="20"/>
        <v>1743.0522667932703</v>
      </c>
    </row>
    <row r="139" spans="1:11" x14ac:dyDescent="0.3">
      <c r="A139" s="1">
        <v>43251</v>
      </c>
      <c r="B139">
        <v>1786.39</v>
      </c>
      <c r="C139" s="2">
        <f t="shared" si="16"/>
        <v>-2.8245276172932376E-3</v>
      </c>
      <c r="D139">
        <v>3.27</v>
      </c>
      <c r="E139" s="2">
        <f t="shared" si="14"/>
        <v>-1.2820206642314291E-2</v>
      </c>
      <c r="F139" s="3">
        <f t="shared" si="15"/>
        <v>1958.0261308266249</v>
      </c>
      <c r="G139" s="7">
        <v>1.82</v>
      </c>
      <c r="H139" s="8">
        <f t="shared" si="17"/>
        <v>1.5166666666666668E-3</v>
      </c>
      <c r="I139">
        <f t="shared" si="18"/>
        <v>-45410.070566720089</v>
      </c>
      <c r="J139" s="2">
        <f t="shared" si="19"/>
        <v>-4.0614181120189495E-3</v>
      </c>
      <c r="K139" s="9">
        <f t="shared" si="20"/>
        <v>1735.9730027467203</v>
      </c>
    </row>
    <row r="140" spans="1:11" x14ac:dyDescent="0.3">
      <c r="A140" s="1">
        <v>43281</v>
      </c>
      <c r="B140">
        <v>1790.6</v>
      </c>
      <c r="C140" s="2">
        <f t="shared" si="16"/>
        <v>2.3567082216089386E-3</v>
      </c>
      <c r="D140">
        <v>3.2290000000000001</v>
      </c>
      <c r="E140" s="2">
        <f t="shared" si="14"/>
        <v>6.1805266324569622E-3</v>
      </c>
      <c r="F140" s="3">
        <f t="shared" si="15"/>
        <v>1970.1277634752457</v>
      </c>
      <c r="G140" s="6">
        <v>1.82</v>
      </c>
      <c r="H140" s="8">
        <f t="shared" si="17"/>
        <v>1.5166666666666668E-3</v>
      </c>
      <c r="I140">
        <f t="shared" si="18"/>
        <v>-45478.942507079613</v>
      </c>
      <c r="J140" s="2">
        <f t="shared" si="19"/>
        <v>4.5573124344533414E-3</v>
      </c>
      <c r="K140" s="9">
        <f t="shared" si="20"/>
        <v>1743.8843740980133</v>
      </c>
    </row>
    <row r="141" spans="1:11" x14ac:dyDescent="0.3">
      <c r="A141" s="1">
        <v>43312</v>
      </c>
      <c r="B141">
        <v>1796.29</v>
      </c>
      <c r="C141" s="2">
        <f t="shared" si="16"/>
        <v>3.177705796939545E-3</v>
      </c>
      <c r="D141">
        <v>3.18</v>
      </c>
      <c r="E141" s="2">
        <f t="shared" si="14"/>
        <v>6.8304774510221898E-3</v>
      </c>
      <c r="F141" s="3">
        <f t="shared" si="15"/>
        <v>1983.5846767392961</v>
      </c>
      <c r="G141" s="7">
        <v>1.82</v>
      </c>
      <c r="H141" s="8">
        <f t="shared" si="17"/>
        <v>1.5166666666666668E-3</v>
      </c>
      <c r="I141">
        <f t="shared" si="18"/>
        <v>-45547.918903215352</v>
      </c>
      <c r="J141" s="2">
        <f t="shared" si="19"/>
        <v>4.8521300550506824E-3</v>
      </c>
      <c r="K141" s="9">
        <f t="shared" si="20"/>
        <v>1752.3459278821074</v>
      </c>
    </row>
    <row r="142" spans="1:11" x14ac:dyDescent="0.3">
      <c r="A142" s="1">
        <v>43343</v>
      </c>
      <c r="B142">
        <v>1800.35</v>
      </c>
      <c r="C142" s="2">
        <f t="shared" si="16"/>
        <v>2.2602141079668403E-3</v>
      </c>
      <c r="D142">
        <v>3.2069999999999999</v>
      </c>
      <c r="E142" s="2">
        <f t="shared" si="14"/>
        <v>3.7197018305497364E-4</v>
      </c>
      <c r="F142" s="3">
        <f t="shared" si="15"/>
        <v>1984.3225110946078</v>
      </c>
      <c r="G142" s="6">
        <v>1.87</v>
      </c>
      <c r="H142" s="8">
        <f t="shared" si="17"/>
        <v>1.5583333333333334E-3</v>
      </c>
      <c r="I142">
        <f t="shared" si="18"/>
        <v>-45618.897743506197</v>
      </c>
      <c r="J142" s="2">
        <f t="shared" si="19"/>
        <v>1.9225518608789907E-3</v>
      </c>
      <c r="K142" s="9">
        <f t="shared" si="20"/>
        <v>1755.7149038066609</v>
      </c>
    </row>
    <row r="143" spans="1:11" x14ac:dyDescent="0.3">
      <c r="A143" s="1">
        <v>43373</v>
      </c>
      <c r="B143">
        <v>1801.97</v>
      </c>
      <c r="C143" s="2">
        <f t="shared" si="16"/>
        <v>8.9982503402130654E-4</v>
      </c>
      <c r="D143">
        <v>3.2650000000000001</v>
      </c>
      <c r="E143" s="2">
        <f t="shared" si="14"/>
        <v>-2.2072494654690965E-3</v>
      </c>
      <c r="F143" s="3">
        <f t="shared" si="15"/>
        <v>1979.9426162926759</v>
      </c>
      <c r="G143" s="7">
        <v>1.87</v>
      </c>
      <c r="H143" s="8">
        <f t="shared" si="17"/>
        <v>1.5583333333333334E-3</v>
      </c>
      <c r="I143">
        <f t="shared" si="18"/>
        <v>-45689.987192489825</v>
      </c>
      <c r="J143" s="2">
        <f t="shared" si="19"/>
        <v>7.5261810888469817E-4</v>
      </c>
      <c r="K143" s="9">
        <f t="shared" si="20"/>
        <v>1757.0362866373043</v>
      </c>
    </row>
    <row r="144" spans="1:11" x14ac:dyDescent="0.3">
      <c r="A144" s="1">
        <v>43404</v>
      </c>
      <c r="B144">
        <v>1809.18</v>
      </c>
      <c r="C144" s="2">
        <f t="shared" si="16"/>
        <v>4.0011764901746183E-3</v>
      </c>
      <c r="D144">
        <v>3.2250000000000001</v>
      </c>
      <c r="E144" s="2">
        <f t="shared" si="14"/>
        <v>6.0927354145308647E-3</v>
      </c>
      <c r="F144" s="3">
        <f t="shared" si="15"/>
        <v>1992.005882789701</v>
      </c>
      <c r="G144" s="6">
        <v>1.87</v>
      </c>
      <c r="H144" s="8">
        <f t="shared" si="17"/>
        <v>1.5583333333333334E-3</v>
      </c>
      <c r="I144">
        <f t="shared" si="18"/>
        <v>-45761.187422531453</v>
      </c>
      <c r="J144" s="2">
        <f t="shared" si="19"/>
        <v>4.517490347552288E-3</v>
      </c>
      <c r="K144" s="9">
        <f t="shared" si="20"/>
        <v>1764.9736811024873</v>
      </c>
    </row>
    <row r="145" spans="1:11" x14ac:dyDescent="0.3">
      <c r="A145" s="1">
        <v>43434</v>
      </c>
      <c r="B145">
        <v>1821.96</v>
      </c>
      <c r="C145" s="2">
        <f t="shared" si="16"/>
        <v>7.0639737339568409E-3</v>
      </c>
      <c r="D145">
        <v>3.0539999999999998</v>
      </c>
      <c r="E145" s="2">
        <f t="shared" si="14"/>
        <v>1.7223112847105027E-2</v>
      </c>
      <c r="F145" s="3">
        <f t="shared" si="15"/>
        <v>2026.314424901085</v>
      </c>
      <c r="G145" s="7">
        <v>1.87</v>
      </c>
      <c r="H145" s="8">
        <f t="shared" si="17"/>
        <v>1.5583333333333334E-3</v>
      </c>
      <c r="I145">
        <f t="shared" si="18"/>
        <v>-45832.498606264897</v>
      </c>
      <c r="J145" s="2">
        <f t="shared" si="19"/>
        <v>9.5662283401678726E-3</v>
      </c>
      <c r="K145" s="9">
        <f t="shared" si="20"/>
        <v>1781.8578223503002</v>
      </c>
    </row>
    <row r="146" spans="1:11" x14ac:dyDescent="0.3">
      <c r="A146" s="1">
        <v>43465</v>
      </c>
      <c r="B146">
        <v>1839.64</v>
      </c>
      <c r="C146" s="2">
        <f t="shared" si="16"/>
        <v>9.7038354299765484E-3</v>
      </c>
      <c r="D146">
        <v>2.839</v>
      </c>
      <c r="E146" s="2">
        <f t="shared" si="14"/>
        <v>2.1014221285291047E-2</v>
      </c>
      <c r="F146" s="3">
        <f t="shared" si="15"/>
        <v>2068.8958446195338</v>
      </c>
      <c r="G146" s="6">
        <v>1.87</v>
      </c>
      <c r="H146" s="8">
        <f t="shared" si="17"/>
        <v>1.5583333333333334E-3</v>
      </c>
      <c r="I146">
        <f t="shared" si="18"/>
        <v>-45903.920916592993</v>
      </c>
      <c r="J146" s="2">
        <f t="shared" si="19"/>
        <v>1.128587471531947E-2</v>
      </c>
      <c r="K146" s="9">
        <f t="shared" si="20"/>
        <v>1801.9676464938577</v>
      </c>
    </row>
    <row r="147" spans="1:11" x14ac:dyDescent="0.3">
      <c r="A147" s="1">
        <v>43496</v>
      </c>
      <c r="B147">
        <v>1849.08</v>
      </c>
      <c r="C147" s="2">
        <f t="shared" si="16"/>
        <v>5.1314387597571898E-3</v>
      </c>
      <c r="D147">
        <v>2.734</v>
      </c>
      <c r="E147" s="2">
        <f t="shared" si="14"/>
        <v>1.1432345144586954E-2</v>
      </c>
      <c r="F147" s="3">
        <f t="shared" si="15"/>
        <v>2092.5481759834261</v>
      </c>
      <c r="G147" s="7">
        <v>1.87</v>
      </c>
      <c r="H147" s="8">
        <f t="shared" si="17"/>
        <v>1.5583333333333334E-3</v>
      </c>
      <c r="I147">
        <f t="shared" si="18"/>
        <v>-45975.454526688016</v>
      </c>
      <c r="J147" s="2">
        <f t="shared" si="19"/>
        <v>6.9395367402449466E-3</v>
      </c>
      <c r="K147" s="9">
        <f t="shared" si="20"/>
        <v>1814.4724671814345</v>
      </c>
    </row>
    <row r="148" spans="1:11" x14ac:dyDescent="0.3">
      <c r="A148" s="1">
        <v>43524</v>
      </c>
      <c r="B148">
        <v>1839.78</v>
      </c>
      <c r="C148" s="2">
        <f t="shared" si="16"/>
        <v>-5.0295281978064432E-3</v>
      </c>
      <c r="D148">
        <v>2.952</v>
      </c>
      <c r="E148" s="2">
        <f t="shared" si="14"/>
        <v>-1.6345136983826607E-2</v>
      </c>
      <c r="F148" s="3">
        <f t="shared" si="15"/>
        <v>2058.3451894017207</v>
      </c>
      <c r="G148" s="6">
        <v>1.87</v>
      </c>
      <c r="H148" s="8">
        <f t="shared" si="17"/>
        <v>1.5583333333333334E-3</v>
      </c>
      <c r="I148">
        <f t="shared" si="18"/>
        <v>-46047.099609992103</v>
      </c>
      <c r="J148" s="2">
        <f t="shared" si="19"/>
        <v>-5.6603261314751062E-3</v>
      </c>
      <c r="K148" s="9">
        <f t="shared" si="20"/>
        <v>1804.2019612606052</v>
      </c>
    </row>
    <row r="149" spans="1:11" x14ac:dyDescent="0.3">
      <c r="A149" s="1">
        <v>43555</v>
      </c>
      <c r="B149">
        <v>1850.39</v>
      </c>
      <c r="C149" s="2">
        <f t="shared" si="16"/>
        <v>5.7669938797031417E-3</v>
      </c>
      <c r="D149">
        <v>2.843</v>
      </c>
      <c r="E149" s="2">
        <f t="shared" si="14"/>
        <v>1.1821627501053516E-2</v>
      </c>
      <c r="F149" s="3">
        <f t="shared" si="15"/>
        <v>2082.6781794994131</v>
      </c>
      <c r="G149" s="7">
        <v>1.87</v>
      </c>
      <c r="H149" s="8">
        <f t="shared" si="17"/>
        <v>1.5583333333333334E-3</v>
      </c>
      <c r="I149">
        <f t="shared" si="18"/>
        <v>-46118.856340217673</v>
      </c>
      <c r="J149" s="2">
        <f t="shared" si="19"/>
        <v>7.1161151747907297E-3</v>
      </c>
      <c r="K149" s="9">
        <f t="shared" si="20"/>
        <v>1817.0408702155189</v>
      </c>
    </row>
    <row r="150" spans="1:11" x14ac:dyDescent="0.3">
      <c r="A150" s="1">
        <v>43585</v>
      </c>
      <c r="B150">
        <v>1843.58</v>
      </c>
      <c r="C150" s="2">
        <f t="shared" si="16"/>
        <v>-3.6803052329509311E-3</v>
      </c>
      <c r="D150">
        <v>3.0169999999999999</v>
      </c>
      <c r="E150" s="2">
        <f t="shared" si="14"/>
        <v>-1.2448232210441867E-2</v>
      </c>
      <c r="F150" s="3">
        <f t="shared" si="15"/>
        <v>2056.7525179013842</v>
      </c>
      <c r="G150" s="6">
        <v>1.87</v>
      </c>
      <c r="H150" s="8">
        <f t="shared" si="17"/>
        <v>1.5583333333333334E-3</v>
      </c>
      <c r="I150">
        <f t="shared" si="18"/>
        <v>-46190.724891347847</v>
      </c>
      <c r="J150" s="2">
        <f t="shared" si="19"/>
        <v>-3.8926905501862532E-3</v>
      </c>
      <c r="K150" s="9">
        <f t="shared" si="20"/>
        <v>1809.9676923907286</v>
      </c>
    </row>
    <row r="151" spans="1:11" x14ac:dyDescent="0.3">
      <c r="A151" s="1">
        <v>43616</v>
      </c>
      <c r="B151">
        <v>1865.17</v>
      </c>
      <c r="C151" s="2">
        <f t="shared" si="16"/>
        <v>1.1710910294101762E-2</v>
      </c>
      <c r="D151">
        <v>2.6659999999999999</v>
      </c>
      <c r="E151" s="2">
        <f t="shared" si="14"/>
        <v>3.2923848970108097E-2</v>
      </c>
      <c r="F151" s="3">
        <f t="shared" si="15"/>
        <v>2124.4687271696589</v>
      </c>
      <c r="G151" s="7">
        <v>1.86</v>
      </c>
      <c r="H151" s="8">
        <f t="shared" si="17"/>
        <v>1.5500000000000002E-3</v>
      </c>
      <c r="I151">
        <f t="shared" si="18"/>
        <v>-46262.32051492943</v>
      </c>
      <c r="J151" s="2">
        <f t="shared" si="19"/>
        <v>1.6688080537582951E-2</v>
      </c>
      <c r="K151" s="9">
        <f t="shared" si="20"/>
        <v>1840.1725790117682</v>
      </c>
    </row>
    <row r="152" spans="1:11" x14ac:dyDescent="0.3">
      <c r="A152" s="1">
        <v>43646</v>
      </c>
      <c r="B152">
        <v>1878.94</v>
      </c>
      <c r="C152" s="2">
        <f t="shared" si="16"/>
        <v>7.3827050617369938E-3</v>
      </c>
      <c r="D152">
        <v>2.423</v>
      </c>
      <c r="E152" s="2">
        <f t="shared" si="14"/>
        <v>2.3528719443970936E-2</v>
      </c>
      <c r="F152" s="3">
        <f t="shared" si="15"/>
        <v>2174.4547558187237</v>
      </c>
      <c r="G152" s="6">
        <v>1.86</v>
      </c>
      <c r="H152" s="8">
        <f t="shared" si="17"/>
        <v>1.5500000000000002E-3</v>
      </c>
      <c r="I152">
        <f t="shared" si="18"/>
        <v>-46334.02711172757</v>
      </c>
      <c r="J152" s="2">
        <f t="shared" si="19"/>
        <v>1.2426450806561065E-2</v>
      </c>
      <c r="K152" s="9">
        <f t="shared" si="20"/>
        <v>1863.0393930404405</v>
      </c>
    </row>
    <row r="153" spans="1:11" x14ac:dyDescent="0.3">
      <c r="A153" s="1">
        <v>43677</v>
      </c>
      <c r="B153">
        <v>1895.53</v>
      </c>
      <c r="C153" s="2">
        <f t="shared" si="16"/>
        <v>8.82944638998584E-3</v>
      </c>
      <c r="D153">
        <v>2.198</v>
      </c>
      <c r="E153" s="2">
        <f t="shared" si="14"/>
        <v>2.1969476892347278E-2</v>
      </c>
      <c r="F153" s="3">
        <f t="shared" si="15"/>
        <v>2222.2263893301379</v>
      </c>
      <c r="G153" s="7">
        <v>1.86</v>
      </c>
      <c r="H153" s="8">
        <f t="shared" si="17"/>
        <v>1.5500000000000002E-3</v>
      </c>
      <c r="I153">
        <f t="shared" si="18"/>
        <v>-46405.844853750743</v>
      </c>
      <c r="J153" s="2">
        <f t="shared" si="19"/>
        <v>1.1719178554764245E-2</v>
      </c>
      <c r="K153" s="9">
        <f t="shared" si="20"/>
        <v>1884.8726843420411</v>
      </c>
    </row>
    <row r="154" spans="1:11" x14ac:dyDescent="0.3">
      <c r="A154" s="1">
        <v>43708</v>
      </c>
      <c r="B154">
        <v>1915.02</v>
      </c>
      <c r="C154" s="2">
        <f t="shared" si="16"/>
        <v>1.0282084693990612E-2</v>
      </c>
      <c r="D154">
        <v>1.843</v>
      </c>
      <c r="E154" s="2">
        <f t="shared" si="14"/>
        <v>3.3871810588353084E-2</v>
      </c>
      <c r="F154" s="3">
        <f t="shared" si="15"/>
        <v>2297.4972206739681</v>
      </c>
      <c r="G154" s="6">
        <v>1.85</v>
      </c>
      <c r="H154" s="8">
        <f t="shared" si="17"/>
        <v>1.5416666666666667E-3</v>
      </c>
      <c r="I154">
        <f t="shared" si="18"/>
        <v>-46477.38719790028</v>
      </c>
      <c r="J154" s="2">
        <f t="shared" si="19"/>
        <v>1.7118075824496412E-2</v>
      </c>
      <c r="K154" s="9">
        <f t="shared" si="20"/>
        <v>1917.1380778721302</v>
      </c>
    </row>
    <row r="155" spans="1:11" x14ac:dyDescent="0.3">
      <c r="A155" s="1">
        <v>43738</v>
      </c>
      <c r="B155">
        <v>1910.01</v>
      </c>
      <c r="C155" s="2">
        <f t="shared" si="16"/>
        <v>-2.6161606667293169E-3</v>
      </c>
      <c r="D155">
        <v>2.004</v>
      </c>
      <c r="E155" s="2">
        <f t="shared" si="14"/>
        <v>-1.2878456014113929E-2</v>
      </c>
      <c r="F155" s="3">
        <f t="shared" si="15"/>
        <v>2267.9090037749693</v>
      </c>
      <c r="G155" s="7">
        <v>1.84</v>
      </c>
      <c r="H155" s="8">
        <f t="shared" si="17"/>
        <v>1.5333333333333334E-3</v>
      </c>
      <c r="I155">
        <f t="shared" si="18"/>
        <v>-46548.652524937061</v>
      </c>
      <c r="J155" s="2">
        <f t="shared" si="19"/>
        <v>-4.0878400207307024E-3</v>
      </c>
      <c r="K155" s="9">
        <f t="shared" si="20"/>
        <v>1909.3011241121378</v>
      </c>
    </row>
    <row r="156" spans="1:11" x14ac:dyDescent="0.3">
      <c r="A156" s="1">
        <v>43769</v>
      </c>
      <c r="B156">
        <v>1916.69</v>
      </c>
      <c r="C156" s="2">
        <f t="shared" si="16"/>
        <v>3.4973638881472535E-3</v>
      </c>
      <c r="D156">
        <v>1.956</v>
      </c>
      <c r="E156" s="2">
        <f t="shared" si="14"/>
        <v>5.9777497590848775E-3</v>
      </c>
      <c r="F156" s="3">
        <f t="shared" si="15"/>
        <v>2281.4659962759115</v>
      </c>
      <c r="G156" s="6">
        <v>1.84</v>
      </c>
      <c r="H156" s="8">
        <f t="shared" si="17"/>
        <v>1.5333333333333334E-3</v>
      </c>
      <c r="I156">
        <f t="shared" si="18"/>
        <v>-46620.027125475302</v>
      </c>
      <c r="J156" s="2">
        <f t="shared" si="19"/>
        <v>4.4653328667505167E-3</v>
      </c>
      <c r="K156" s="9">
        <f t="shared" si="20"/>
        <v>1917.8267891741596</v>
      </c>
    </row>
    <row r="157" spans="1:11" x14ac:dyDescent="0.3">
      <c r="A157" s="1">
        <v>43799</v>
      </c>
      <c r="B157">
        <v>1916.89</v>
      </c>
      <c r="C157" s="2">
        <f t="shared" si="16"/>
        <v>1.0434655578106522E-4</v>
      </c>
      <c r="D157">
        <v>2.0009999999999999</v>
      </c>
      <c r="E157" s="2">
        <f t="shared" si="14"/>
        <v>-2.3994424703694043E-3</v>
      </c>
      <c r="F157" s="3">
        <f t="shared" si="15"/>
        <v>2275.9917498697437</v>
      </c>
      <c r="G157" s="7">
        <v>1.84</v>
      </c>
      <c r="H157" s="8">
        <f t="shared" si="17"/>
        <v>1.5333333333333334E-3</v>
      </c>
      <c r="I157">
        <f t="shared" si="18"/>
        <v>-46691.5111670677</v>
      </c>
      <c r="J157" s="2">
        <f t="shared" si="19"/>
        <v>6.6543938276932284E-4</v>
      </c>
      <c r="K157" s="9">
        <f t="shared" si="20"/>
        <v>1919.1029866490062</v>
      </c>
    </row>
    <row r="158" spans="1:11" x14ac:dyDescent="0.3">
      <c r="A158" s="1">
        <v>43830</v>
      </c>
      <c r="B158">
        <v>1912.18</v>
      </c>
      <c r="C158" s="2">
        <f t="shared" si="16"/>
        <v>-2.4571049982001769E-3</v>
      </c>
      <c r="D158">
        <v>2.1070000000000002</v>
      </c>
      <c r="E158" s="2">
        <f t="shared" si="14"/>
        <v>-7.7740018172223644E-3</v>
      </c>
      <c r="F158" s="3">
        <f t="shared" si="15"/>
        <v>2258.2981858702733</v>
      </c>
      <c r="G158" s="6">
        <v>1.84</v>
      </c>
      <c r="H158" s="8">
        <f t="shared" si="17"/>
        <v>1.5333333333333334E-3</v>
      </c>
      <c r="I158">
        <f t="shared" si="18"/>
        <v>-46763.104817523876</v>
      </c>
      <c r="J158" s="2">
        <f t="shared" si="19"/>
        <v>-1.7724601523004589E-3</v>
      </c>
      <c r="K158" s="9">
        <f t="shared" si="20"/>
        <v>1915.70145307701</v>
      </c>
    </row>
    <row r="159" spans="1:11" x14ac:dyDescent="0.3">
      <c r="A159" s="1">
        <v>43861</v>
      </c>
      <c r="B159">
        <v>1913.58</v>
      </c>
      <c r="C159" s="2">
        <f t="shared" si="16"/>
        <v>7.3214864709392202E-4</v>
      </c>
      <c r="D159">
        <v>2.1320000000000001</v>
      </c>
      <c r="E159" s="2">
        <f t="shared" si="14"/>
        <v>-4.6816352113749986E-4</v>
      </c>
      <c r="F159" s="3">
        <f t="shared" si="15"/>
        <v>2257.2409330397977</v>
      </c>
      <c r="G159" s="7">
        <v>1.84</v>
      </c>
      <c r="H159" s="8">
        <f t="shared" si="17"/>
        <v>1.5333333333333334E-3</v>
      </c>
      <c r="I159">
        <f t="shared" si="18"/>
        <v>-46834.808244910746</v>
      </c>
      <c r="J159" s="2">
        <f t="shared" si="19"/>
        <v>1.5414673040498668E-3</v>
      </c>
      <c r="K159" s="9">
        <f t="shared" si="20"/>
        <v>1918.654444231249</v>
      </c>
    </row>
    <row r="160" spans="1:11" x14ac:dyDescent="0.3">
      <c r="A160" s="1">
        <v>43890</v>
      </c>
      <c r="B160">
        <v>1938.3</v>
      </c>
      <c r="C160" s="2">
        <f t="shared" si="16"/>
        <v>1.291819521525106E-2</v>
      </c>
      <c r="D160">
        <v>1.784</v>
      </c>
      <c r="E160" s="2">
        <f t="shared" si="14"/>
        <v>3.3278110150763672E-2</v>
      </c>
      <c r="F160" s="3">
        <f t="shared" si="15"/>
        <v>2332.3576454463087</v>
      </c>
      <c r="G160" s="6">
        <v>1.83</v>
      </c>
      <c r="H160" s="8">
        <f t="shared" si="17"/>
        <v>1.5250000000000001E-3</v>
      </c>
      <c r="I160">
        <f t="shared" si="18"/>
        <v>-46906.231327484238</v>
      </c>
      <c r="J160" s="2">
        <f t="shared" si="19"/>
        <v>1.6848773370590594E-2</v>
      </c>
      <c r="K160" s="9">
        <f t="shared" si="20"/>
        <v>1950.981418138578</v>
      </c>
    </row>
    <row r="161" spans="1:11" x14ac:dyDescent="0.3">
      <c r="A161" s="1">
        <v>43921</v>
      </c>
      <c r="B161">
        <v>1962.84</v>
      </c>
      <c r="C161" s="2">
        <f t="shared" si="16"/>
        <v>1.2660578857761839E-2</v>
      </c>
      <c r="D161">
        <v>1.6579999999999999</v>
      </c>
      <c r="E161" s="2">
        <f t="shared" si="14"/>
        <v>1.296480720835461E-2</v>
      </c>
      <c r="F161" s="3">
        <f t="shared" si="15"/>
        <v>2362.5962126604518</v>
      </c>
      <c r="G161" s="7">
        <v>1.23</v>
      </c>
      <c r="H161" s="8">
        <f t="shared" si="17"/>
        <v>1.0250000000000001E-3</v>
      </c>
      <c r="I161">
        <f t="shared" si="18"/>
        <v>-46954.310214594909</v>
      </c>
      <c r="J161" s="2">
        <f t="shared" si="19"/>
        <v>7.6346613656635559E-3</v>
      </c>
      <c r="K161" s="9">
        <f t="shared" si="20"/>
        <v>1965.876500596768</v>
      </c>
    </row>
    <row r="162" spans="1:11" x14ac:dyDescent="0.3">
      <c r="A162" s="1">
        <v>43951</v>
      </c>
      <c r="B162">
        <v>1985.59</v>
      </c>
      <c r="C162" s="2">
        <f t="shared" si="16"/>
        <v>1.1590348678445439E-2</v>
      </c>
      <c r="D162">
        <v>1.4610000000000001</v>
      </c>
      <c r="E162" s="2">
        <f t="shared" si="14"/>
        <v>1.9506792443285511E-2</v>
      </c>
      <c r="F162" s="3">
        <f t="shared" si="15"/>
        <v>2408.6828866081114</v>
      </c>
      <c r="G162" s="6">
        <v>0.75</v>
      </c>
      <c r="H162" s="8">
        <f t="shared" si="17"/>
        <v>6.2500000000000001E-4</v>
      </c>
      <c r="I162">
        <f t="shared" si="18"/>
        <v>-46983.656658479034</v>
      </c>
      <c r="J162" s="2">
        <f t="shared" si="19"/>
        <v>1.060210515656896E-2</v>
      </c>
      <c r="K162" s="9">
        <f t="shared" si="20"/>
        <v>1986.7189299809229</v>
      </c>
    </row>
    <row r="163" spans="1:11" x14ac:dyDescent="0.3">
      <c r="A163" s="1">
        <v>43982</v>
      </c>
      <c r="B163">
        <v>2015.41</v>
      </c>
      <c r="C163" s="2">
        <f t="shared" si="16"/>
        <v>1.5018206175494431E-2</v>
      </c>
      <c r="D163">
        <v>1.163</v>
      </c>
      <c r="E163" s="2">
        <f t="shared" si="14"/>
        <v>2.9052444081238433E-2</v>
      </c>
      <c r="F163" s="3">
        <f t="shared" si="15"/>
        <v>2478.6610114807299</v>
      </c>
      <c r="G163" s="7">
        <v>0.33</v>
      </c>
      <c r="H163" s="8">
        <f t="shared" si="17"/>
        <v>2.7500000000000002E-4</v>
      </c>
      <c r="I163">
        <f t="shared" si="18"/>
        <v>-46996.577164060116</v>
      </c>
      <c r="J163" s="2">
        <f t="shared" si="19"/>
        <v>1.4932011701136175E-2</v>
      </c>
      <c r="K163" s="9">
        <f t="shared" si="20"/>
        <v>2016.3846402902668</v>
      </c>
    </row>
    <row r="164" spans="1:11" x14ac:dyDescent="0.3">
      <c r="A164" s="1">
        <v>44012</v>
      </c>
      <c r="B164">
        <v>2009.2</v>
      </c>
      <c r="C164" s="2">
        <f t="shared" si="16"/>
        <v>-3.0812589001741886E-3</v>
      </c>
      <c r="D164">
        <v>1.363</v>
      </c>
      <c r="E164" s="2">
        <f t="shared" si="14"/>
        <v>-1.7523407872162798E-2</v>
      </c>
      <c r="F164" s="3">
        <f t="shared" si="15"/>
        <v>2435.2264235997254</v>
      </c>
      <c r="G164" s="6">
        <v>0.3</v>
      </c>
      <c r="H164" s="8">
        <f t="shared" si="17"/>
        <v>2.5000000000000001E-4</v>
      </c>
      <c r="I164">
        <f t="shared" si="18"/>
        <v>-47008.326308351134</v>
      </c>
      <c r="J164" s="2">
        <f t="shared" si="19"/>
        <v>-6.1947896782481148E-3</v>
      </c>
      <c r="K164" s="9">
        <f t="shared" si="20"/>
        <v>2003.8935615332186</v>
      </c>
    </row>
    <row r="165" spans="1:11" x14ac:dyDescent="0.3">
      <c r="A165" s="1">
        <v>44043</v>
      </c>
      <c r="B165">
        <v>2018.8</v>
      </c>
      <c r="C165" s="2">
        <f t="shared" si="16"/>
        <v>4.7780211029264663E-3</v>
      </c>
      <c r="D165">
        <v>1.264</v>
      </c>
      <c r="E165" s="2">
        <f t="shared" si="14"/>
        <v>1.0335701376715797E-2</v>
      </c>
      <c r="F165" s="3">
        <f t="shared" si="15"/>
        <v>2460.3961966987399</v>
      </c>
      <c r="G165" s="7">
        <v>0.28000000000000003</v>
      </c>
      <c r="H165" s="8">
        <f t="shared" si="17"/>
        <v>2.3333333333333336E-4</v>
      </c>
      <c r="I165">
        <f t="shared" si="18"/>
        <v>-47019.294917823085</v>
      </c>
      <c r="J165" s="2">
        <f t="shared" si="19"/>
        <v>6.4420992464352036E-3</v>
      </c>
      <c r="K165" s="9">
        <f t="shared" si="20"/>
        <v>2016.8028427359079</v>
      </c>
    </row>
    <row r="166" spans="1:11" x14ac:dyDescent="0.3">
      <c r="A166" s="1">
        <v>44074</v>
      </c>
      <c r="B166">
        <v>2011.09</v>
      </c>
      <c r="C166" s="2">
        <f t="shared" si="16"/>
        <v>-3.8191004557163177E-3</v>
      </c>
      <c r="D166">
        <v>1.39</v>
      </c>
      <c r="E166" s="2">
        <f t="shared" si="14"/>
        <v>-1.0581078424115393E-2</v>
      </c>
      <c r="F166" s="3">
        <f t="shared" si="15"/>
        <v>2434.3625515870754</v>
      </c>
      <c r="G166" s="6">
        <v>0.27</v>
      </c>
      <c r="H166" s="8">
        <f t="shared" si="17"/>
        <v>2.2500000000000002E-4</v>
      </c>
      <c r="I166">
        <f t="shared" si="18"/>
        <v>-47029.874259179589</v>
      </c>
      <c r="J166" s="2">
        <f t="shared" si="19"/>
        <v>-3.0457497958238612E-3</v>
      </c>
      <c r="K166" s="9">
        <f t="shared" si="20"/>
        <v>2010.6601658894281</v>
      </c>
    </row>
    <row r="167" spans="1:11" x14ac:dyDescent="0.3">
      <c r="A167" s="1">
        <v>44104</v>
      </c>
      <c r="B167">
        <v>2020.93</v>
      </c>
      <c r="C167" s="2">
        <f t="shared" si="16"/>
        <v>4.8928690411667031E-3</v>
      </c>
      <c r="D167">
        <v>1.3029999999999999</v>
      </c>
      <c r="E167" s="2">
        <f t="shared" si="14"/>
        <v>9.2270918181189439E-3</v>
      </c>
      <c r="F167" s="3">
        <f t="shared" si="15"/>
        <v>2456.8246383691599</v>
      </c>
      <c r="G167" s="7">
        <v>0.27</v>
      </c>
      <c r="H167" s="8">
        <f t="shared" si="17"/>
        <v>2.2500000000000002E-4</v>
      </c>
      <c r="I167">
        <f t="shared" si="18"/>
        <v>-47040.455980887898</v>
      </c>
      <c r="J167" s="2">
        <f t="shared" si="19"/>
        <v>5.9392340712539635E-3</v>
      </c>
      <c r="K167" s="9">
        <f t="shared" si="20"/>
        <v>2022.6019472523919</v>
      </c>
    </row>
    <row r="168" spans="1:11" x14ac:dyDescent="0.3">
      <c r="A168" s="1">
        <v>44135</v>
      </c>
      <c r="B168">
        <v>2035.2</v>
      </c>
      <c r="C168" s="2">
        <f t="shared" si="16"/>
        <v>7.0611055306220027E-3</v>
      </c>
      <c r="D168">
        <v>1.1759999999999999</v>
      </c>
      <c r="E168" s="2">
        <f t="shared" si="14"/>
        <v>1.2940540075926479E-2</v>
      </c>
      <c r="F168" s="3">
        <f t="shared" si="15"/>
        <v>2488.6172760614995</v>
      </c>
      <c r="G168" s="6">
        <v>0.26</v>
      </c>
      <c r="H168" s="8">
        <f t="shared" si="17"/>
        <v>2.1666666666666668E-4</v>
      </c>
      <c r="I168">
        <f t="shared" si="18"/>
        <v>-47050.648079683764</v>
      </c>
      <c r="J168" s="2">
        <f t="shared" si="19"/>
        <v>7.6236537970340162E-3</v>
      </c>
      <c r="K168" s="9">
        <f t="shared" si="20"/>
        <v>2038.0215642674509</v>
      </c>
    </row>
    <row r="169" spans="1:11" x14ac:dyDescent="0.3">
      <c r="A169" s="1">
        <v>44165</v>
      </c>
      <c r="B169">
        <v>2034.09</v>
      </c>
      <c r="C169" s="2">
        <f t="shared" si="16"/>
        <v>-5.454009433962792E-4</v>
      </c>
      <c r="D169">
        <v>1.2270000000000001</v>
      </c>
      <c r="E169" s="2">
        <f t="shared" si="14"/>
        <v>-3.7682340468223417E-3</v>
      </c>
      <c r="F169" s="3">
        <f t="shared" si="15"/>
        <v>2479.2395837123345</v>
      </c>
      <c r="G169" s="7">
        <v>0.25</v>
      </c>
      <c r="H169" s="8">
        <f t="shared" si="17"/>
        <v>2.0833333333333335E-4</v>
      </c>
      <c r="I169">
        <f t="shared" si="18"/>
        <v>-47060.450298033698</v>
      </c>
      <c r="J169" s="2">
        <f t="shared" si="19"/>
        <v>4.4555672592041899E-5</v>
      </c>
      <c r="K169" s="9">
        <f t="shared" si="20"/>
        <v>2038.112369689004</v>
      </c>
    </row>
    <row r="170" spans="1:11" x14ac:dyDescent="0.3">
      <c r="A170" s="1">
        <v>44196</v>
      </c>
      <c r="B170">
        <v>2034.99</v>
      </c>
      <c r="C170" s="2">
        <f t="shared" si="16"/>
        <v>4.4245829830535932E-4</v>
      </c>
      <c r="D170">
        <v>1.228</v>
      </c>
      <c r="E170" s="2">
        <f t="shared" si="14"/>
        <v>9.294020984853173E-4</v>
      </c>
      <c r="F170" s="3">
        <f t="shared" si="15"/>
        <v>2481.5437941840846</v>
      </c>
      <c r="G170" s="6">
        <v>0.25</v>
      </c>
      <c r="H170" s="8">
        <f t="shared" si="17"/>
        <v>2.0833333333333335E-4</v>
      </c>
      <c r="I170">
        <f t="shared" si="18"/>
        <v>-47070.254558512454</v>
      </c>
      <c r="J170" s="2">
        <f t="shared" si="19"/>
        <v>2.1754029170788676E-3</v>
      </c>
      <c r="K170" s="9">
        <f t="shared" si="20"/>
        <v>2042.5460852833601</v>
      </c>
    </row>
    <row r="171" spans="1:11" x14ac:dyDescent="0.3">
      <c r="A171" s="1">
        <v>44227</v>
      </c>
      <c r="B171">
        <v>2040.32</v>
      </c>
      <c r="C171" s="2">
        <f t="shared" si="16"/>
        <v>2.6191774898156606E-3</v>
      </c>
      <c r="D171">
        <v>1.149</v>
      </c>
      <c r="E171" s="2">
        <f t="shared" si="14"/>
        <v>8.4076504490350878E-3</v>
      </c>
      <c r="F171" s="3">
        <f t="shared" si="15"/>
        <v>2502.4077469795566</v>
      </c>
      <c r="G171" s="7">
        <v>0.25</v>
      </c>
      <c r="H171" s="8">
        <f t="shared" si="17"/>
        <v>2.0833333333333335E-4</v>
      </c>
      <c r="I171">
        <f t="shared" si="18"/>
        <v>-47080.060861545477</v>
      </c>
      <c r="J171" s="2">
        <f t="shared" si="19"/>
        <v>5.5675355553791266E-3</v>
      </c>
      <c r="K171" s="9">
        <f t="shared" si="20"/>
        <v>2053.9180332366755</v>
      </c>
    </row>
    <row r="172" spans="1:11" x14ac:dyDescent="0.3">
      <c r="A172" s="1">
        <v>44255</v>
      </c>
      <c r="B172">
        <v>2016.19</v>
      </c>
      <c r="C172" s="2">
        <f t="shared" si="16"/>
        <v>-1.1826576223337493E-2</v>
      </c>
      <c r="D172">
        <v>1.583</v>
      </c>
      <c r="E172" s="2">
        <f t="shared" si="14"/>
        <v>-3.8727916434629084E-2</v>
      </c>
      <c r="F172" s="3">
        <f t="shared" si="15"/>
        <v>2405.4947088691638</v>
      </c>
      <c r="G172" s="6">
        <v>0.25</v>
      </c>
      <c r="H172" s="8">
        <f t="shared" si="17"/>
        <v>2.0833333333333335E-4</v>
      </c>
      <c r="I172">
        <f t="shared" si="18"/>
        <v>-47089.869207558302</v>
      </c>
      <c r="J172" s="2">
        <f t="shared" si="19"/>
        <v>-1.5813152455484755E-2</v>
      </c>
      <c r="K172" s="9">
        <f t="shared" si="20"/>
        <v>2021.4391142460345</v>
      </c>
    </row>
    <row r="173" spans="1:11" x14ac:dyDescent="0.3">
      <c r="A173" s="1">
        <v>44286</v>
      </c>
      <c r="B173">
        <v>2015.88</v>
      </c>
      <c r="C173" s="2">
        <f t="shared" si="16"/>
        <v>-1.5375535043815614E-4</v>
      </c>
      <c r="D173">
        <v>1.548</v>
      </c>
      <c r="E173" s="2">
        <f t="shared" si="14"/>
        <v>4.5252556599292455E-3</v>
      </c>
      <c r="F173" s="3">
        <f t="shared" si="15"/>
        <v>2416.3801874154042</v>
      </c>
      <c r="G173" s="7">
        <v>0.25</v>
      </c>
      <c r="H173" s="8">
        <f t="shared" si="17"/>
        <v>2.0833333333333335E-4</v>
      </c>
      <c r="I173">
        <f t="shared" si="18"/>
        <v>-47099.679596976544</v>
      </c>
      <c r="J173" s="2">
        <f t="shared" si="19"/>
        <v>3.8064817013807361E-3</v>
      </c>
      <c r="K173" s="9">
        <f t="shared" si="20"/>
        <v>2029.1336852448674</v>
      </c>
    </row>
    <row r="174" spans="1:11" x14ac:dyDescent="0.3">
      <c r="A174" s="1">
        <v>44316</v>
      </c>
      <c r="B174">
        <v>2011.25</v>
      </c>
      <c r="C174" s="2">
        <f t="shared" si="16"/>
        <v>-2.2967636962518689E-3</v>
      </c>
      <c r="D174">
        <v>1.7</v>
      </c>
      <c r="E174" s="2">
        <f t="shared" si="14"/>
        <v>-1.2527427078109624E-2</v>
      </c>
      <c r="F174" s="3">
        <f t="shared" si="15"/>
        <v>2386.1091608245688</v>
      </c>
      <c r="G174" s="6">
        <v>0.25</v>
      </c>
      <c r="H174" s="8">
        <f t="shared" si="17"/>
        <v>2.0833333333333335E-4</v>
      </c>
      <c r="I174">
        <f t="shared" si="18"/>
        <v>-47109.492030225912</v>
      </c>
      <c r="J174" s="2">
        <f t="shared" si="19"/>
        <v>-3.9286133335452627E-3</v>
      </c>
      <c r="K174" s="9">
        <f t="shared" si="20"/>
        <v>2021.1620035934686</v>
      </c>
    </row>
    <row r="175" spans="1:11" x14ac:dyDescent="0.3">
      <c r="A175" s="1">
        <v>44347</v>
      </c>
      <c r="B175">
        <v>1996.35</v>
      </c>
      <c r="C175" s="2">
        <f t="shared" si="16"/>
        <v>-7.4083281541330592E-3</v>
      </c>
      <c r="D175">
        <v>1.851</v>
      </c>
      <c r="E175" s="2">
        <f t="shared" si="14"/>
        <v>-1.2206213081601591E-2</v>
      </c>
      <c r="F175" s="3">
        <f t="shared" si="15"/>
        <v>2356.9838039715823</v>
      </c>
      <c r="G175" s="7">
        <v>0.26</v>
      </c>
      <c r="H175" s="8">
        <f t="shared" si="17"/>
        <v>2.1666666666666668E-4</v>
      </c>
      <c r="I175">
        <f t="shared" si="18"/>
        <v>-47119.699086832465</v>
      </c>
      <c r="J175" s="2">
        <f t="shared" si="19"/>
        <v>-3.7829106996719623E-3</v>
      </c>
      <c r="K175" s="9">
        <f t="shared" si="20"/>
        <v>2013.5161282243046</v>
      </c>
    </row>
    <row r="176" spans="1:11" x14ac:dyDescent="0.3">
      <c r="A176" s="1">
        <v>44377</v>
      </c>
      <c r="B176">
        <v>2001.97</v>
      </c>
      <c r="C176" s="2">
        <f t="shared" si="16"/>
        <v>2.8151376261678074E-3</v>
      </c>
      <c r="D176">
        <v>1.631</v>
      </c>
      <c r="E176" s="2">
        <f t="shared" si="14"/>
        <v>2.1610951186044943E-2</v>
      </c>
      <c r="F176" s="3">
        <f t="shared" si="15"/>
        <v>2407.9204659055108</v>
      </c>
      <c r="G176" s="6">
        <v>0.26</v>
      </c>
      <c r="H176" s="8">
        <f t="shared" si="17"/>
        <v>2.1666666666666668E-4</v>
      </c>
      <c r="I176">
        <f t="shared" si="18"/>
        <v>-47129.908354967949</v>
      </c>
      <c r="J176" s="2">
        <f t="shared" si="19"/>
        <v>1.1556551333387143E-2</v>
      </c>
      <c r="K176" s="9">
        <f t="shared" si="20"/>
        <v>2036.7854307207315</v>
      </c>
    </row>
    <row r="177" spans="1:11" x14ac:dyDescent="0.3">
      <c r="A177" s="1">
        <v>44408</v>
      </c>
      <c r="B177">
        <v>2013.59</v>
      </c>
      <c r="C177" s="2">
        <f t="shared" si="16"/>
        <v>5.8042827814601683E-3</v>
      </c>
      <c r="D177">
        <v>1.702</v>
      </c>
      <c r="E177" s="2">
        <f t="shared" si="14"/>
        <v>-5.0943773487062364E-3</v>
      </c>
      <c r="F177" s="3">
        <f t="shared" si="15"/>
        <v>2395.6536104265156</v>
      </c>
      <c r="G177" s="7">
        <v>0.26</v>
      </c>
      <c r="H177" s="8">
        <f t="shared" si="17"/>
        <v>2.1666666666666668E-4</v>
      </c>
      <c r="I177">
        <f t="shared" si="18"/>
        <v>-47140.119835111531</v>
      </c>
      <c r="J177" s="2">
        <f t="shared" si="19"/>
        <v>-5.5698278488014474E-4</v>
      </c>
      <c r="K177" s="9">
        <f t="shared" si="20"/>
        <v>2035.6509762993253</v>
      </c>
    </row>
    <row r="178" spans="1:11" x14ac:dyDescent="0.3">
      <c r="A178" s="1">
        <v>44439</v>
      </c>
      <c r="B178">
        <v>2008.37</v>
      </c>
      <c r="C178" s="2">
        <f t="shared" si="16"/>
        <v>-2.5923847456532645E-3</v>
      </c>
      <c r="D178">
        <v>1.8</v>
      </c>
      <c r="E178" s="2">
        <f t="shared" si="14"/>
        <v>-7.4456437883678389E-3</v>
      </c>
      <c r="F178" s="3">
        <f t="shared" si="15"/>
        <v>2377.8164270029624</v>
      </c>
      <c r="G178" s="6">
        <v>0.4</v>
      </c>
      <c r="H178" s="8">
        <f t="shared" si="17"/>
        <v>3.3333333333333338E-4</v>
      </c>
      <c r="I178">
        <f t="shared" si="18"/>
        <v>-47155.8332083899</v>
      </c>
      <c r="J178" s="2">
        <f t="shared" si="19"/>
        <v>-1.6235169861319417E-3</v>
      </c>
      <c r="K178" s="9">
        <f t="shared" si="20"/>
        <v>2032.3460623614671</v>
      </c>
    </row>
    <row r="179" spans="1:11" x14ac:dyDescent="0.3">
      <c r="A179" s="1">
        <v>44469</v>
      </c>
      <c r="B179">
        <v>1986.22</v>
      </c>
      <c r="C179" s="2">
        <f t="shared" si="16"/>
        <v>-1.1028844286660289E-2</v>
      </c>
      <c r="D179">
        <v>2.1669999999999998</v>
      </c>
      <c r="E179" s="2">
        <f t="shared" si="14"/>
        <v>-3.1091415469086059E-2</v>
      </c>
      <c r="F179" s="3">
        <f t="shared" si="15"/>
        <v>2303.8867485617957</v>
      </c>
      <c r="G179" s="7">
        <v>0.48</v>
      </c>
      <c r="H179" s="8">
        <f t="shared" si="17"/>
        <v>3.9999999999999996E-4</v>
      </c>
      <c r="I179">
        <f t="shared" si="18"/>
        <v>-47174.695541673253</v>
      </c>
      <c r="J179" s="2">
        <f t="shared" si="19"/>
        <v>-1.2349236448238808E-2</v>
      </c>
      <c r="K179" s="9">
        <f t="shared" si="20"/>
        <v>2007.2481402927183</v>
      </c>
    </row>
    <row r="180" spans="1:11" x14ac:dyDescent="0.3">
      <c r="A180" s="1">
        <v>44500</v>
      </c>
      <c r="B180">
        <v>1922.89</v>
      </c>
      <c r="C180" s="2">
        <f t="shared" si="16"/>
        <v>-3.1884685482977626E-2</v>
      </c>
      <c r="D180">
        <v>2.82</v>
      </c>
      <c r="E180" s="2">
        <f t="shared" si="14"/>
        <v>-5.4341407427725925E-2</v>
      </c>
      <c r="F180" s="3">
        <f t="shared" si="15"/>
        <v>2178.6903000908601</v>
      </c>
      <c r="G180" s="6">
        <v>1.26</v>
      </c>
      <c r="H180" s="8">
        <f t="shared" si="17"/>
        <v>1.0499999999999999E-3</v>
      </c>
      <c r="I180">
        <f t="shared" si="18"/>
        <v>-47224.228971992008</v>
      </c>
      <c r="J180" s="2">
        <f t="shared" si="19"/>
        <v>-2.2895430271465188E-2</v>
      </c>
      <c r="K180" s="9">
        <f t="shared" si="20"/>
        <v>1961.2913304591182</v>
      </c>
    </row>
    <row r="181" spans="1:11" x14ac:dyDescent="0.3">
      <c r="A181" s="1">
        <v>44530</v>
      </c>
      <c r="B181">
        <v>1878.04</v>
      </c>
      <c r="C181" s="2">
        <f t="shared" si="16"/>
        <v>-2.3324267118764008E-2</v>
      </c>
      <c r="D181">
        <v>3.036</v>
      </c>
      <c r="E181" s="2">
        <f t="shared" si="14"/>
        <v>-1.6026933348091209E-2</v>
      </c>
      <c r="F181" s="3">
        <f t="shared" si="15"/>
        <v>2143.7725758651709</v>
      </c>
      <c r="G181" s="7">
        <v>2.63</v>
      </c>
      <c r="H181" s="8">
        <f t="shared" si="17"/>
        <v>2.1916666666666664E-3</v>
      </c>
      <c r="I181">
        <f t="shared" si="18"/>
        <v>-47327.72874048895</v>
      </c>
      <c r="J181" s="2">
        <f t="shared" si="19"/>
        <v>-5.5159889969207962E-3</v>
      </c>
      <c r="K181" s="9">
        <f t="shared" si="20"/>
        <v>1950.4728690605493</v>
      </c>
    </row>
    <row r="182" spans="1:11" x14ac:dyDescent="0.3">
      <c r="A182" s="1">
        <v>44561</v>
      </c>
      <c r="B182">
        <v>1836.74</v>
      </c>
      <c r="C182" s="2">
        <f t="shared" si="16"/>
        <v>-2.19910119060297E-2</v>
      </c>
      <c r="D182">
        <v>3.6379999999999999</v>
      </c>
      <c r="E182" s="2">
        <f t="shared" si="14"/>
        <v>-4.721124544897063E-2</v>
      </c>
      <c r="F182" s="3">
        <f t="shared" si="15"/>
        <v>2042.5624025992283</v>
      </c>
      <c r="G182" s="6">
        <v>3.13</v>
      </c>
      <c r="H182" s="8">
        <f t="shared" si="17"/>
        <v>2.6083333333333332E-3</v>
      </c>
      <c r="I182">
        <f t="shared" si="18"/>
        <v>-47451.175232953727</v>
      </c>
      <c r="J182" s="2">
        <f t="shared" si="19"/>
        <v>-1.9661189573544895E-2</v>
      </c>
      <c r="K182" s="9">
        <f t="shared" si="20"/>
        <v>1912.1242522238938</v>
      </c>
    </row>
    <row r="183" spans="1:11" x14ac:dyDescent="0.3">
      <c r="A183" s="1">
        <v>44592</v>
      </c>
      <c r="B183">
        <v>1828.17</v>
      </c>
      <c r="C183" s="2">
        <f t="shared" si="16"/>
        <v>-4.6658754096932098E-3</v>
      </c>
      <c r="D183">
        <v>4.0759999999999996</v>
      </c>
      <c r="E183" s="2">
        <f t="shared" si="14"/>
        <v>-3.2405234633406152E-2</v>
      </c>
      <c r="F183" s="3">
        <f t="shared" si="15"/>
        <v>1976.3726886896266</v>
      </c>
      <c r="G183" s="7">
        <v>3.67</v>
      </c>
      <c r="H183" s="8">
        <f t="shared" si="17"/>
        <v>3.0583333333333335E-3</v>
      </c>
      <c r="I183">
        <f t="shared" si="18"/>
        <v>-47596.296743874511</v>
      </c>
      <c r="J183" s="2">
        <f t="shared" si="19"/>
        <v>-1.2945184678252715E-2</v>
      </c>
      <c r="K183" s="9">
        <f t="shared" si="20"/>
        <v>1887.3714506510896</v>
      </c>
    </row>
    <row r="184" spans="1:11" x14ac:dyDescent="0.3">
      <c r="A184" s="1">
        <v>44620</v>
      </c>
      <c r="B184">
        <v>1822.5</v>
      </c>
      <c r="C184" s="2">
        <f t="shared" si="16"/>
        <v>-3.1014621178555579E-3</v>
      </c>
      <c r="D184">
        <v>4.0919999999999996</v>
      </c>
      <c r="E184" s="2">
        <f t="shared" si="14"/>
        <v>2.1031578740966024E-3</v>
      </c>
      <c r="F184" s="3">
        <f t="shared" si="15"/>
        <v>1980.5293124719938</v>
      </c>
      <c r="G184" s="6">
        <v>4.2300000000000004</v>
      </c>
      <c r="H184" s="8">
        <f t="shared" si="17"/>
        <v>3.5250000000000004E-3</v>
      </c>
      <c r="I184">
        <f t="shared" si="18"/>
        <v>-47764.073689896672</v>
      </c>
      <c r="J184" s="2">
        <f t="shared" si="19"/>
        <v>2.7078184092110286E-3</v>
      </c>
      <c r="K184" s="9">
        <f t="shared" si="20"/>
        <v>1892.482109810182</v>
      </c>
    </row>
    <row r="185" spans="1:11" x14ac:dyDescent="0.3">
      <c r="A185" s="1">
        <v>44651</v>
      </c>
      <c r="B185">
        <v>1746.17</v>
      </c>
      <c r="C185" s="2">
        <f t="shared" si="16"/>
        <v>-4.1882030178326479E-2</v>
      </c>
      <c r="D185">
        <v>5.1920000000000002</v>
      </c>
      <c r="E185" s="2">
        <f t="shared" si="14"/>
        <v>-8.1014778770671564E-2</v>
      </c>
      <c r="F185" s="3">
        <f t="shared" si="15"/>
        <v>1820.0771683732451</v>
      </c>
      <c r="G185" s="7">
        <v>5.16</v>
      </c>
      <c r="H185" s="8">
        <f t="shared" si="17"/>
        <v>4.3E-3</v>
      </c>
      <c r="I185">
        <f t="shared" si="18"/>
        <v>-47969.459206763226</v>
      </c>
      <c r="J185" s="2">
        <f t="shared" si="19"/>
        <v>-3.4994468611005893E-2</v>
      </c>
      <c r="K185" s="9">
        <f t="shared" si="20"/>
        <v>1826.2557040215395</v>
      </c>
    </row>
    <row r="186" spans="1:11" x14ac:dyDescent="0.3">
      <c r="A186" s="1">
        <v>44681</v>
      </c>
      <c r="B186">
        <v>1678.03</v>
      </c>
      <c r="C186" s="2">
        <f t="shared" si="16"/>
        <v>-3.9022546487455512E-2</v>
      </c>
      <c r="D186">
        <v>6.3440000000000003</v>
      </c>
      <c r="E186" s="2">
        <f t="shared" si="14"/>
        <v>-7.9513168588726174E-2</v>
      </c>
      <c r="F186" s="3">
        <f t="shared" si="15"/>
        <v>1675.357065639892</v>
      </c>
      <c r="G186" s="6">
        <v>6.4</v>
      </c>
      <c r="H186" s="8">
        <f t="shared" si="17"/>
        <v>5.333333333333334E-3</v>
      </c>
      <c r="I186">
        <f t="shared" si="18"/>
        <v>-48225.296322532631</v>
      </c>
      <c r="J186" s="2">
        <f t="shared" si="19"/>
        <v>-3.431333839582569E-2</v>
      </c>
      <c r="K186" s="9">
        <f t="shared" si="20"/>
        <v>1763.5907740521413</v>
      </c>
    </row>
    <row r="187" spans="1:11" x14ac:dyDescent="0.3">
      <c r="A187" s="1">
        <v>44712</v>
      </c>
      <c r="B187">
        <v>1682.22</v>
      </c>
      <c r="C187" s="2">
        <f t="shared" si="16"/>
        <v>2.4969756202213311E-3</v>
      </c>
      <c r="D187">
        <v>6.5339999999999998</v>
      </c>
      <c r="E187" s="2">
        <f t="shared" si="14"/>
        <v>-8.422129049771682E-3</v>
      </c>
      <c r="F187" s="3">
        <f t="shared" si="15"/>
        <v>1661.2469922286259</v>
      </c>
      <c r="G187" s="7">
        <v>6.88</v>
      </c>
      <c r="H187" s="8">
        <f t="shared" si="17"/>
        <v>5.7333333333333333E-3</v>
      </c>
      <c r="I187">
        <f t="shared" si="18"/>
        <v>-48501.788021448483</v>
      </c>
      <c r="J187" s="2">
        <f t="shared" si="19"/>
        <v>-2.0664505944793599E-3</v>
      </c>
      <c r="K187" s="9">
        <f t="shared" si="20"/>
        <v>1759.946400848683</v>
      </c>
    </row>
    <row r="188" spans="1:11" x14ac:dyDescent="0.3">
      <c r="A188" s="1">
        <v>44742</v>
      </c>
      <c r="B188">
        <v>1665.87</v>
      </c>
      <c r="C188" s="2">
        <f t="shared" si="16"/>
        <v>-9.719299497093159E-3</v>
      </c>
      <c r="D188">
        <v>6.87</v>
      </c>
      <c r="E188" s="2">
        <f t="shared" si="14"/>
        <v>-1.8432380465568755E-2</v>
      </c>
      <c r="F188" s="3">
        <f t="shared" si="15"/>
        <v>1630.6262556205861</v>
      </c>
      <c r="G188" s="6">
        <v>7.51</v>
      </c>
      <c r="H188" s="8">
        <f t="shared" si="17"/>
        <v>6.2583333333333328E-3</v>
      </c>
      <c r="I188">
        <f t="shared" si="18"/>
        <v>-48805.328378149381</v>
      </c>
      <c r="J188" s="2">
        <f t="shared" si="19"/>
        <v>-6.6070995477359486E-3</v>
      </c>
      <c r="K188" s="9">
        <f t="shared" si="20"/>
        <v>1748.318259779596</v>
      </c>
    </row>
    <row r="189" spans="1:11" x14ac:dyDescent="0.3">
      <c r="A189" s="1">
        <v>44773</v>
      </c>
      <c r="B189">
        <v>1749.44</v>
      </c>
      <c r="C189" s="2">
        <f t="shared" si="16"/>
        <v>5.0165979338123723E-2</v>
      </c>
      <c r="D189">
        <v>5.5419999999999998</v>
      </c>
      <c r="E189" s="2">
        <f t="shared" si="14"/>
        <v>0.10600245550286715</v>
      </c>
      <c r="F189" s="3">
        <f t="shared" si="15"/>
        <v>1803.4766427238142</v>
      </c>
      <c r="G189" s="7">
        <v>7.44</v>
      </c>
      <c r="H189" s="8">
        <f t="shared" si="17"/>
        <v>6.2000000000000006E-3</v>
      </c>
      <c r="I189">
        <f t="shared" si="18"/>
        <v>-49107.921414093908</v>
      </c>
      <c r="J189" s="2">
        <f t="shared" si="19"/>
        <v>4.9836528511104781E-2</v>
      </c>
      <c r="K189" s="9">
        <f t="shared" si="20"/>
        <v>1835.4483725795872</v>
      </c>
    </row>
    <row r="190" spans="1:11" x14ac:dyDescent="0.3">
      <c r="A190" s="1">
        <v>44804</v>
      </c>
      <c r="B190">
        <v>1720.32</v>
      </c>
      <c r="C190" s="2">
        <f t="shared" si="16"/>
        <v>-1.6645326504481472E-2</v>
      </c>
      <c r="D190">
        <v>6.1449999999999996</v>
      </c>
      <c r="E190" s="2">
        <f t="shared" si="14"/>
        <v>-3.9667171205754637E-2</v>
      </c>
      <c r="F190" s="3">
        <f t="shared" si="15"/>
        <v>1731.9378259713092</v>
      </c>
      <c r="G190" s="6">
        <v>7.46</v>
      </c>
      <c r="H190" s="8">
        <f t="shared" si="17"/>
        <v>6.2166666666666663E-3</v>
      </c>
      <c r="I190">
        <f t="shared" si="18"/>
        <v>-49413.208992218199</v>
      </c>
      <c r="J190" s="2">
        <f t="shared" si="19"/>
        <v>-1.6239198317491998E-2</v>
      </c>
      <c r="K190" s="9">
        <f t="shared" si="20"/>
        <v>1805.6421624557493</v>
      </c>
    </row>
    <row r="191" spans="1:11" x14ac:dyDescent="0.3">
      <c r="A191" s="1">
        <v>44834</v>
      </c>
      <c r="B191">
        <v>1684.12</v>
      </c>
      <c r="C191" s="2">
        <f t="shared" si="16"/>
        <v>-2.1042596726190466E-2</v>
      </c>
      <c r="D191">
        <v>7.1150000000000002</v>
      </c>
      <c r="E191" s="2">
        <f t="shared" si="14"/>
        <v>-6.3056140064216129E-2</v>
      </c>
      <c r="F191" s="3">
        <f t="shared" si="15"/>
        <v>1622.7285118343484</v>
      </c>
      <c r="G191" s="7">
        <v>7.48</v>
      </c>
      <c r="H191" s="8">
        <f t="shared" si="17"/>
        <v>6.2333333333333338E-3</v>
      </c>
      <c r="I191">
        <f t="shared" si="18"/>
        <v>-49721.217994936356</v>
      </c>
      <c r="J191" s="2">
        <f t="shared" si="19"/>
        <v>-2.6848432047359091E-2</v>
      </c>
      <c r="K191" s="9">
        <f t="shared" si="20"/>
        <v>1757.1635015552095</v>
      </c>
    </row>
    <row r="192" spans="1:11" x14ac:dyDescent="0.3">
      <c r="A192" s="1">
        <v>44865</v>
      </c>
      <c r="B192">
        <v>1625.07</v>
      </c>
      <c r="C192" s="2">
        <f t="shared" si="16"/>
        <v>-3.5062822126689319E-2</v>
      </c>
      <c r="D192">
        <v>8.3369999999999997</v>
      </c>
      <c r="E192" s="2">
        <f t="shared" si="14"/>
        <v>-7.5440084318583275E-2</v>
      </c>
      <c r="F192" s="3">
        <f t="shared" si="15"/>
        <v>1500.3097360753959</v>
      </c>
      <c r="G192" s="6">
        <v>7.82</v>
      </c>
      <c r="H192" s="8">
        <f t="shared" si="17"/>
        <v>6.5166666666666671E-3</v>
      </c>
      <c r="I192">
        <f t="shared" si="18"/>
        <v>-50045.234598870025</v>
      </c>
      <c r="J192" s="2">
        <f t="shared" si="19"/>
        <v>-3.2465787813972739E-2</v>
      </c>
      <c r="K192" s="9">
        <f t="shared" si="20"/>
        <v>1700.1158041592607</v>
      </c>
    </row>
    <row r="193" spans="1:11" x14ac:dyDescent="0.3">
      <c r="A193" s="1">
        <v>44895</v>
      </c>
      <c r="B193">
        <v>1737.14</v>
      </c>
      <c r="C193" s="2">
        <f t="shared" si="16"/>
        <v>6.8963183124419292E-2</v>
      </c>
      <c r="D193">
        <v>6.5810000000000004</v>
      </c>
      <c r="E193" s="2">
        <f t="shared" si="14"/>
        <v>0.13337582428600958</v>
      </c>
      <c r="F193" s="3">
        <f t="shared" si="15"/>
        <v>1700.4147838087774</v>
      </c>
      <c r="G193" s="7">
        <v>7.63</v>
      </c>
      <c r="H193" s="8">
        <f t="shared" si="17"/>
        <v>6.358333333333333E-3</v>
      </c>
      <c r="I193">
        <f t="shared" si="18"/>
        <v>-50363.438882194503</v>
      </c>
      <c r="J193" s="2">
        <f t="shared" si="19"/>
        <v>6.2253085613370673E-2</v>
      </c>
      <c r="K193" s="9">
        <f t="shared" si="20"/>
        <v>1805.9532588682318</v>
      </c>
    </row>
    <row r="194" spans="1:11" x14ac:dyDescent="0.3">
      <c r="A194" s="1">
        <v>44926</v>
      </c>
      <c r="B194">
        <v>1744.32</v>
      </c>
      <c r="C194" s="2">
        <f t="shared" si="16"/>
        <v>4.1332304822869759E-3</v>
      </c>
      <c r="D194">
        <v>6.8449999999999998</v>
      </c>
      <c r="E194" s="2">
        <f t="shared" si="14"/>
        <v>-1.3297781661654918E-2</v>
      </c>
      <c r="F194" s="3">
        <f t="shared" si="15"/>
        <v>1677.8030392794381</v>
      </c>
      <c r="G194" s="6">
        <v>7.23</v>
      </c>
      <c r="H194" s="8">
        <f t="shared" si="17"/>
        <v>6.025E-3</v>
      </c>
      <c r="I194">
        <f t="shared" si="18"/>
        <v>-50666.878601459721</v>
      </c>
      <c r="J194" s="2">
        <f t="shared" si="19"/>
        <v>-4.2780460888396342E-3</v>
      </c>
      <c r="K194" s="9">
        <f t="shared" si="20"/>
        <v>1798.2273075925034</v>
      </c>
    </row>
    <row r="195" spans="1:11" x14ac:dyDescent="0.3">
      <c r="A195" s="1">
        <v>44957</v>
      </c>
      <c r="B195">
        <v>1806.67</v>
      </c>
      <c r="C195" s="2">
        <f t="shared" si="16"/>
        <v>3.574458814896353E-2</v>
      </c>
      <c r="D195">
        <v>5.9969999999999999</v>
      </c>
      <c r="E195" s="2">
        <f t="shared" ref="E195:E215" si="21">D194/1200+((D194/D195)*(1-(1+D195/200)^(-2*(10-(1/12))))+(1+D195/200)^(-2*(10-(1/12)))-1)</f>
        <v>6.8406832984152996E-2</v>
      </c>
      <c r="F195" s="3">
        <f t="shared" ref="F195:F215" si="22">F194*(1+E195)</f>
        <v>1792.5762315677307</v>
      </c>
      <c r="G195" s="7">
        <v>7.1</v>
      </c>
      <c r="H195" s="8">
        <f t="shared" si="17"/>
        <v>5.9166666666666664E-3</v>
      </c>
      <c r="I195">
        <f t="shared" si="18"/>
        <v>-50966.657633185023</v>
      </c>
      <c r="J195" s="2">
        <f t="shared" si="19"/>
        <v>3.2783158226394861E-2</v>
      </c>
      <c r="K195" s="9">
        <f t="shared" si="20"/>
        <v>1857.1788779443325</v>
      </c>
    </row>
    <row r="196" spans="1:11" x14ac:dyDescent="0.3">
      <c r="A196" s="1">
        <v>44985</v>
      </c>
      <c r="B196">
        <v>1787.57</v>
      </c>
      <c r="C196" s="2">
        <f t="shared" ref="C196:C215" si="23">B196/B195-1</f>
        <v>-1.0571936214139876E-2</v>
      </c>
      <c r="D196">
        <v>6.53</v>
      </c>
      <c r="E196" s="2">
        <f t="shared" si="21"/>
        <v>-3.3466261244138859E-2</v>
      </c>
      <c r="F196" s="3">
        <f t="shared" si="22"/>
        <v>1732.585407102051</v>
      </c>
      <c r="G196" s="6">
        <v>7.1</v>
      </c>
      <c r="H196" s="8">
        <f t="shared" ref="H196:H215" si="24">I425*E196+(1-I425)*G196/1200</f>
        <v>5.9166666666666664E-3</v>
      </c>
      <c r="I196">
        <f t="shared" ref="I196:I215" si="25">(1+H196)*I195</f>
        <v>-51268.210357514698</v>
      </c>
      <c r="J196" s="2">
        <f t="shared" ref="J196:J215" si="26">$J$236+E196*$I$236</f>
        <v>-1.3426466233459012E-2</v>
      </c>
      <c r="K196" s="9">
        <f t="shared" ref="K196:K214" si="27">K195*(1+J196)</f>
        <v>1832.2435284501196</v>
      </c>
    </row>
    <row r="197" spans="1:11" x14ac:dyDescent="0.3">
      <c r="A197" s="1">
        <v>45016</v>
      </c>
      <c r="B197">
        <v>1824.34</v>
      </c>
      <c r="C197" s="2">
        <f t="shared" si="23"/>
        <v>2.0569823839066359E-2</v>
      </c>
      <c r="D197">
        <v>6.0430000000000001</v>
      </c>
      <c r="E197" s="2">
        <f t="shared" si="21"/>
        <v>4.1375414132834507E-2</v>
      </c>
      <c r="F197" s="3">
        <f t="shared" si="22"/>
        <v>1804.2718458414038</v>
      </c>
      <c r="G197" s="7">
        <v>7.06</v>
      </c>
      <c r="H197" s="8">
        <f t="shared" si="24"/>
        <v>5.8833333333333333E-3</v>
      </c>
      <c r="I197">
        <f t="shared" si="25"/>
        <v>-51569.838328451406</v>
      </c>
      <c r="J197" s="2">
        <f t="shared" si="26"/>
        <v>2.0521709576005843E-2</v>
      </c>
      <c r="K197" s="9">
        <f t="shared" si="27"/>
        <v>1869.8442980134889</v>
      </c>
    </row>
    <row r="198" spans="1:11" x14ac:dyDescent="0.3">
      <c r="A198" s="1">
        <v>45046</v>
      </c>
      <c r="B198">
        <v>1841.18</v>
      </c>
      <c r="C198" s="2">
        <f t="shared" si="23"/>
        <v>9.2307354988654389E-3</v>
      </c>
      <c r="D198">
        <v>5.8869999999999996</v>
      </c>
      <c r="E198" s="2">
        <f t="shared" si="21"/>
        <v>1.6629219281486512E-2</v>
      </c>
      <c r="F198" s="3">
        <f t="shared" si="22"/>
        <v>1834.275478009313</v>
      </c>
      <c r="G198" s="6">
        <v>7.06</v>
      </c>
      <c r="H198" s="8">
        <f t="shared" si="24"/>
        <v>5.8833333333333333E-3</v>
      </c>
      <c r="I198">
        <f t="shared" si="25"/>
        <v>-51873.240877283788</v>
      </c>
      <c r="J198" s="2">
        <f t="shared" si="26"/>
        <v>9.2968382834090636E-3</v>
      </c>
      <c r="K198" s="9">
        <f t="shared" si="27"/>
        <v>1887.2279380672749</v>
      </c>
    </row>
    <row r="199" spans="1:11" x14ac:dyDescent="0.3">
      <c r="A199" s="1">
        <v>45077</v>
      </c>
      <c r="B199">
        <v>1844.61</v>
      </c>
      <c r="C199" s="2">
        <f t="shared" si="23"/>
        <v>1.8629357260018242E-3</v>
      </c>
      <c r="D199">
        <v>6.0220000000000002</v>
      </c>
      <c r="E199" s="2">
        <f t="shared" si="21"/>
        <v>-5.064866858471238E-3</v>
      </c>
      <c r="F199" s="3">
        <f t="shared" si="22"/>
        <v>1824.9851169314372</v>
      </c>
      <c r="G199" s="7">
        <v>7.05</v>
      </c>
      <c r="H199" s="8">
        <f t="shared" si="24"/>
        <v>5.875E-3</v>
      </c>
      <c r="I199">
        <f t="shared" si="25"/>
        <v>-52177.996167437836</v>
      </c>
      <c r="J199" s="2">
        <f t="shared" si="26"/>
        <v>-5.4359682971979995E-4</v>
      </c>
      <c r="K199" s="9">
        <f t="shared" si="27"/>
        <v>1886.2020469431827</v>
      </c>
    </row>
    <row r="200" spans="1:11" x14ac:dyDescent="0.3">
      <c r="A200" s="1">
        <v>45107</v>
      </c>
      <c r="B200">
        <v>1870.02</v>
      </c>
      <c r="C200" s="2">
        <f t="shared" si="23"/>
        <v>1.3775269569177295E-2</v>
      </c>
      <c r="D200">
        <v>5.76</v>
      </c>
      <c r="E200" s="2">
        <f t="shared" si="21"/>
        <v>2.4603544419165888E-2</v>
      </c>
      <c r="F200" s="3">
        <f t="shared" si="22"/>
        <v>1869.8862193201765</v>
      </c>
      <c r="G200" s="6">
        <v>6.98</v>
      </c>
      <c r="H200" s="8">
        <f t="shared" si="24"/>
        <v>5.816666666666667E-3</v>
      </c>
      <c r="I200">
        <f t="shared" si="25"/>
        <v>-52481.498178478425</v>
      </c>
      <c r="J200" s="2">
        <f t="shared" si="26"/>
        <v>1.2913991298386402E-2</v>
      </c>
      <c r="K200" s="9">
        <f t="shared" si="27"/>
        <v>1910.5604437644056</v>
      </c>
    </row>
    <row r="201" spans="1:11" x14ac:dyDescent="0.3">
      <c r="A201" s="1">
        <v>45138</v>
      </c>
      <c r="B201">
        <v>1902.25</v>
      </c>
      <c r="C201" s="2">
        <f t="shared" si="23"/>
        <v>1.7235109784922154E-2</v>
      </c>
      <c r="D201">
        <v>5.415</v>
      </c>
      <c r="E201" s="2">
        <f t="shared" si="21"/>
        <v>3.100501199760583E-2</v>
      </c>
      <c r="F201" s="3">
        <f t="shared" si="22"/>
        <v>1927.8620639843562</v>
      </c>
      <c r="G201" s="7">
        <v>6.57</v>
      </c>
      <c r="H201" s="8">
        <f t="shared" si="24"/>
        <v>5.4749999999999998E-3</v>
      </c>
      <c r="I201">
        <f t="shared" si="25"/>
        <v>-52768.834381005589</v>
      </c>
      <c r="J201" s="2">
        <f t="shared" si="26"/>
        <v>1.5817696295593493E-2</v>
      </c>
      <c r="K201" s="9">
        <f t="shared" si="27"/>
        <v>1940.7811086182455</v>
      </c>
    </row>
    <row r="202" spans="1:11" x14ac:dyDescent="0.3">
      <c r="A202" s="1">
        <v>45169</v>
      </c>
      <c r="B202">
        <v>1905.45</v>
      </c>
      <c r="C202" s="2">
        <f t="shared" si="23"/>
        <v>1.6822184255487205E-3</v>
      </c>
      <c r="D202">
        <v>5.57</v>
      </c>
      <c r="E202" s="2">
        <f t="shared" si="21"/>
        <v>-7.1763946018077755E-3</v>
      </c>
      <c r="F202" s="3">
        <f t="shared" si="22"/>
        <v>1914.0269650753489</v>
      </c>
      <c r="G202" s="6">
        <v>6.45</v>
      </c>
      <c r="H202" s="8">
        <f t="shared" si="24"/>
        <v>5.3750000000000004E-3</v>
      </c>
      <c r="I202">
        <f t="shared" si="25"/>
        <v>-53052.466865803486</v>
      </c>
      <c r="J202" s="2">
        <f t="shared" si="26"/>
        <v>-1.501385584398133E-3</v>
      </c>
      <c r="K202" s="9">
        <f t="shared" si="27"/>
        <v>1937.8672478392939</v>
      </c>
    </row>
    <row r="203" spans="1:11" x14ac:dyDescent="0.3">
      <c r="A203" s="1">
        <v>45199</v>
      </c>
      <c r="B203">
        <v>1917.31</v>
      </c>
      <c r="C203" s="2">
        <f t="shared" si="23"/>
        <v>6.2242514891495127E-3</v>
      </c>
      <c r="D203">
        <v>5.899</v>
      </c>
      <c r="E203" s="2">
        <f t="shared" si="21"/>
        <v>-1.9794992390132812E-2</v>
      </c>
      <c r="F203" s="3">
        <f t="shared" si="22"/>
        <v>1876.1388158671734</v>
      </c>
      <c r="G203" s="7">
        <v>5.58</v>
      </c>
      <c r="H203" s="8">
        <f t="shared" si="24"/>
        <v>4.6500000000000005E-3</v>
      </c>
      <c r="I203">
        <f t="shared" si="25"/>
        <v>-53299.160836729476</v>
      </c>
      <c r="J203" s="2">
        <f t="shared" si="26"/>
        <v>-7.2251801684886773E-3</v>
      </c>
      <c r="K203" s="9">
        <f t="shared" si="27"/>
        <v>1923.8658078310416</v>
      </c>
    </row>
    <row r="204" spans="1:11" x14ac:dyDescent="0.3">
      <c r="A204" s="1">
        <v>45230</v>
      </c>
      <c r="B204">
        <v>1928.31</v>
      </c>
      <c r="C204" s="2">
        <f t="shared" si="23"/>
        <v>5.7372047295429773E-3</v>
      </c>
      <c r="D204">
        <v>5.6539999999999999</v>
      </c>
      <c r="E204" s="2">
        <f t="shared" si="21"/>
        <v>2.3320136909714344E-2</v>
      </c>
      <c r="F204" s="3">
        <f t="shared" si="22"/>
        <v>1919.890629914825</v>
      </c>
      <c r="G204" s="6">
        <v>5.54</v>
      </c>
      <c r="H204" s="8">
        <f t="shared" si="24"/>
        <v>4.6166666666666665E-3</v>
      </c>
      <c r="I204">
        <f t="shared" si="25"/>
        <v>-53545.225295925709</v>
      </c>
      <c r="J204" s="2">
        <f t="shared" si="26"/>
        <v>1.2331837791712586E-2</v>
      </c>
      <c r="K204" s="9">
        <f t="shared" si="27"/>
        <v>1947.590608906236</v>
      </c>
    </row>
    <row r="205" spans="1:11" x14ac:dyDescent="0.3">
      <c r="A205" s="1">
        <v>45260</v>
      </c>
      <c r="B205">
        <v>1934.4</v>
      </c>
      <c r="C205" s="2">
        <f t="shared" si="23"/>
        <v>3.1582058901318266E-3</v>
      </c>
      <c r="D205">
        <v>5.5019999999999998</v>
      </c>
      <c r="E205" s="2">
        <f t="shared" si="21"/>
        <v>1.6210515954729662E-2</v>
      </c>
      <c r="F205" s="3">
        <f t="shared" si="22"/>
        <v>1951.0130476023953</v>
      </c>
      <c r="G205" s="7">
        <v>5.79</v>
      </c>
      <c r="H205" s="8">
        <f t="shared" si="24"/>
        <v>4.8250000000000003E-3</v>
      </c>
      <c r="I205">
        <f t="shared" si="25"/>
        <v>-53803.581007978559</v>
      </c>
      <c r="J205" s="2">
        <f t="shared" si="26"/>
        <v>9.1069144999401178E-3</v>
      </c>
      <c r="K205" s="9">
        <f t="shared" si="27"/>
        <v>1965.3271500624312</v>
      </c>
    </row>
    <row r="206" spans="1:11" x14ac:dyDescent="0.3">
      <c r="A206" s="1">
        <v>45291</v>
      </c>
      <c r="B206">
        <v>1967.56</v>
      </c>
      <c r="C206" s="2">
        <f t="shared" si="23"/>
        <v>1.7142266335814726E-2</v>
      </c>
      <c r="D206">
        <v>5.2169999999999996</v>
      </c>
      <c r="E206" s="2">
        <f t="shared" si="21"/>
        <v>2.6433177317319138E-2</v>
      </c>
      <c r="F206" s="3">
        <f t="shared" si="22"/>
        <v>2002.5845214380727</v>
      </c>
      <c r="G206" s="6">
        <v>5.79</v>
      </c>
      <c r="H206" s="8">
        <f t="shared" si="24"/>
        <v>4.8250000000000003E-3</v>
      </c>
      <c r="I206">
        <f t="shared" si="25"/>
        <v>-54063.183286342057</v>
      </c>
      <c r="J206" s="2">
        <f t="shared" si="26"/>
        <v>1.374391258195507E-2</v>
      </c>
      <c r="K206" s="9">
        <f t="shared" si="27"/>
        <v>1992.3384346078324</v>
      </c>
    </row>
    <row r="207" spans="1:11" x14ac:dyDescent="0.3">
      <c r="A207" s="1">
        <v>45322</v>
      </c>
      <c r="B207">
        <v>1976.44</v>
      </c>
      <c r="C207" s="2">
        <f t="shared" si="23"/>
        <v>4.5132041716644533E-3</v>
      </c>
      <c r="D207">
        <v>5.226</v>
      </c>
      <c r="E207" s="2">
        <f t="shared" si="21"/>
        <v>3.657847292790224E-3</v>
      </c>
      <c r="F207" s="3">
        <f t="shared" si="22"/>
        <v>2009.9096698083983</v>
      </c>
      <c r="G207" s="7">
        <v>5.82</v>
      </c>
      <c r="H207" s="8">
        <f t="shared" si="24"/>
        <v>4.8500000000000001E-3</v>
      </c>
      <c r="I207">
        <f t="shared" si="25"/>
        <v>-54325.389725280816</v>
      </c>
      <c r="J207" s="2">
        <f t="shared" si="26"/>
        <v>3.4130253604060887E-3</v>
      </c>
      <c r="K207" s="9">
        <f t="shared" si="27"/>
        <v>1999.1383362116608</v>
      </c>
    </row>
    <row r="208" spans="1:11" x14ac:dyDescent="0.3">
      <c r="A208" s="1">
        <v>45351</v>
      </c>
      <c r="B208">
        <v>1971.69</v>
      </c>
      <c r="C208" s="2">
        <f t="shared" si="23"/>
        <v>-2.4033110036226768E-3</v>
      </c>
      <c r="D208">
        <v>5.3120000000000003</v>
      </c>
      <c r="E208" s="2">
        <f t="shared" si="21"/>
        <v>-2.2086446976798931E-3</v>
      </c>
      <c r="F208" s="3">
        <f t="shared" si="22"/>
        <v>2005.4704934733604</v>
      </c>
      <c r="G208" s="6">
        <v>5.85</v>
      </c>
      <c r="H208" s="8">
        <f t="shared" si="24"/>
        <v>4.875E-3</v>
      </c>
      <c r="I208">
        <f t="shared" si="25"/>
        <v>-54590.226000191557</v>
      </c>
      <c r="J208" s="2">
        <f t="shared" si="26"/>
        <v>7.5198523170565894E-4</v>
      </c>
      <c r="K208" s="9">
        <f t="shared" si="27"/>
        <v>2000.6416587166286</v>
      </c>
    </row>
    <row r="209" spans="1:11" x14ac:dyDescent="0.3">
      <c r="A209" s="1">
        <v>45382</v>
      </c>
      <c r="B209">
        <v>1972.24</v>
      </c>
      <c r="C209" s="2">
        <f t="shared" si="23"/>
        <v>2.789485162475458E-4</v>
      </c>
      <c r="D209">
        <v>5.4320000000000004</v>
      </c>
      <c r="E209" s="2">
        <f t="shared" si="21"/>
        <v>-4.6809224583700629E-3</v>
      </c>
      <c r="F209" s="3">
        <f t="shared" si="22"/>
        <v>1996.0830416008625</v>
      </c>
      <c r="G209" s="7">
        <v>5.86</v>
      </c>
      <c r="H209" s="8">
        <f t="shared" si="24"/>
        <v>4.8833333333333333E-3</v>
      </c>
      <c r="I209">
        <f t="shared" si="25"/>
        <v>-54856.808270492496</v>
      </c>
      <c r="J209" s="2">
        <f t="shared" si="26"/>
        <v>-3.6943969160067587E-4</v>
      </c>
      <c r="K209" s="9">
        <f t="shared" si="27"/>
        <v>1999.902542279229</v>
      </c>
    </row>
    <row r="210" spans="1:11" x14ac:dyDescent="0.3">
      <c r="A210" s="1">
        <v>45412</v>
      </c>
      <c r="B210">
        <v>1962.45</v>
      </c>
      <c r="C210" s="2">
        <f t="shared" si="23"/>
        <v>-4.9638989169674685E-3</v>
      </c>
      <c r="D210">
        <v>5.7119999999999997</v>
      </c>
      <c r="E210" s="2">
        <f t="shared" si="21"/>
        <v>-1.6450521377441088E-2</v>
      </c>
      <c r="F210" s="3">
        <f t="shared" si="22"/>
        <v>1963.2464348538599</v>
      </c>
      <c r="G210" s="6">
        <v>5.86</v>
      </c>
      <c r="H210" s="8">
        <f t="shared" si="24"/>
        <v>4.8833333333333333E-3</v>
      </c>
      <c r="I210">
        <f t="shared" si="25"/>
        <v>-55124.692350880068</v>
      </c>
      <c r="J210" s="2">
        <f t="shared" si="26"/>
        <v>-5.708128480954565E-3</v>
      </c>
      <c r="K210" s="9">
        <f t="shared" si="27"/>
        <v>1988.4868416185116</v>
      </c>
    </row>
    <row r="211" spans="1:11" x14ac:dyDescent="0.3">
      <c r="A211" s="1">
        <v>45443</v>
      </c>
      <c r="B211">
        <v>1973.05</v>
      </c>
      <c r="C211" s="2">
        <f t="shared" si="23"/>
        <v>5.4014115009299868E-3</v>
      </c>
      <c r="D211">
        <v>5.6970000000000001</v>
      </c>
      <c r="E211" s="2">
        <f t="shared" si="21"/>
        <v>5.8845568414217638E-3</v>
      </c>
      <c r="F211" s="3">
        <f t="shared" si="22"/>
        <v>1974.7992700934763</v>
      </c>
      <c r="G211" s="7">
        <v>5.87</v>
      </c>
      <c r="H211" s="8">
        <f t="shared" si="24"/>
        <v>4.8916666666666666E-3</v>
      </c>
      <c r="I211">
        <f t="shared" si="25"/>
        <v>-55394.343970963128</v>
      </c>
      <c r="J211" s="2">
        <f t="shared" si="26"/>
        <v>4.4230605694363682E-3</v>
      </c>
      <c r="K211" s="9">
        <f t="shared" si="27"/>
        <v>1997.2820393605175</v>
      </c>
    </row>
    <row r="212" spans="1:11" x14ac:dyDescent="0.3">
      <c r="A212" s="1">
        <v>45473</v>
      </c>
      <c r="B212" s="4">
        <v>1987</v>
      </c>
      <c r="C212" s="2">
        <f t="shared" si="23"/>
        <v>7.070271914041637E-3</v>
      </c>
      <c r="D212">
        <v>5.7229999999999999</v>
      </c>
      <c r="E212" s="2">
        <f t="shared" si="21"/>
        <v>2.8006074661529445E-3</v>
      </c>
      <c r="F212" s="3">
        <f t="shared" si="22"/>
        <v>1980.3299076734531</v>
      </c>
      <c r="G212" s="6">
        <v>5.86</v>
      </c>
      <c r="H212" s="8">
        <f t="shared" si="24"/>
        <v>4.8833333333333333E-3</v>
      </c>
      <c r="I212">
        <f t="shared" si="25"/>
        <v>-55664.853017354668</v>
      </c>
      <c r="J212" s="2">
        <f t="shared" si="26"/>
        <v>3.0241814682968626E-3</v>
      </c>
      <c r="K212" s="9">
        <f t="shared" si="27"/>
        <v>2003.3221826909139</v>
      </c>
    </row>
    <row r="213" spans="1:11" x14ac:dyDescent="0.3">
      <c r="A213" s="1">
        <v>45504</v>
      </c>
      <c r="B213">
        <v>2016.88</v>
      </c>
      <c r="C213" s="2">
        <f t="shared" si="23"/>
        <v>1.5037745344740783E-2</v>
      </c>
      <c r="D213">
        <v>5.4089999999999998</v>
      </c>
      <c r="E213" s="2">
        <f t="shared" si="21"/>
        <v>2.862617784326011E-2</v>
      </c>
      <c r="F213" s="3">
        <f t="shared" si="22"/>
        <v>2037.0191837988405</v>
      </c>
      <c r="G213" s="7">
        <v>5.85</v>
      </c>
      <c r="H213" s="8">
        <f t="shared" si="24"/>
        <v>4.875E-3</v>
      </c>
      <c r="I213">
        <f t="shared" si="25"/>
        <v>-55936.219175814273</v>
      </c>
      <c r="J213" s="2">
        <f t="shared" si="26"/>
        <v>1.473865738195989E-2</v>
      </c>
      <c r="K213" s="9">
        <f t="shared" si="27"/>
        <v>2032.8484619672754</v>
      </c>
    </row>
    <row r="214" spans="1:11" x14ac:dyDescent="0.3">
      <c r="A214" s="1">
        <v>45535</v>
      </c>
      <c r="B214">
        <v>2029.58</v>
      </c>
      <c r="C214" s="2">
        <f t="shared" si="23"/>
        <v>6.2968545476180804E-3</v>
      </c>
      <c r="D214">
        <v>5.4219999999999997</v>
      </c>
      <c r="E214" s="2">
        <f t="shared" si="21"/>
        <v>3.5203859460637447E-3</v>
      </c>
      <c r="F214" s="3">
        <f t="shared" si="22"/>
        <v>2044.1902775053481</v>
      </c>
      <c r="G214" s="6">
        <v>5.84</v>
      </c>
      <c r="H214" s="8">
        <f t="shared" si="24"/>
        <v>4.8666666666666667E-3</v>
      </c>
      <c r="I214">
        <f t="shared" si="25"/>
        <v>-56208.442109136566</v>
      </c>
      <c r="J214" s="2">
        <f t="shared" si="26"/>
        <v>3.3506729084844672E-3</v>
      </c>
      <c r="K214" s="9">
        <f t="shared" si="27"/>
        <v>2039.6598722358435</v>
      </c>
    </row>
    <row r="215" spans="1:11" x14ac:dyDescent="0.3">
      <c r="A215" s="1">
        <v>45565</v>
      </c>
      <c r="B215">
        <v>2051.83</v>
      </c>
      <c r="C215" s="2">
        <f t="shared" si="23"/>
        <v>1.0962859310793327E-2</v>
      </c>
      <c r="D215">
        <v>5.319</v>
      </c>
      <c r="E215" s="2">
        <f t="shared" si="21"/>
        <v>1.2376880099713869E-2</v>
      </c>
      <c r="F215" s="3">
        <f t="shared" si="22"/>
        <v>2069.4909754710329</v>
      </c>
      <c r="G215" s="7">
        <v>5.78</v>
      </c>
      <c r="H215" s="8">
        <f t="shared" si="24"/>
        <v>4.816666666666667E-3</v>
      </c>
      <c r="I215">
        <f t="shared" si="25"/>
        <v>-56479.179438628911</v>
      </c>
      <c r="J215" s="2">
        <f t="shared" si="26"/>
        <v>7.3679776931408125E-3</v>
      </c>
      <c r="K215" s="9">
        <f>K214*(1+J215)</f>
        <v>2054.6880406760715</v>
      </c>
    </row>
    <row r="216" spans="1:11" x14ac:dyDescent="0.3">
      <c r="A216" s="1">
        <v>45596</v>
      </c>
      <c r="B216">
        <v>2015.28</v>
      </c>
      <c r="G216" s="6">
        <v>5.7</v>
      </c>
      <c r="H216" s="8"/>
    </row>
    <row r="217" spans="1:11" x14ac:dyDescent="0.3">
      <c r="A217" s="1">
        <v>45626</v>
      </c>
      <c r="B217">
        <v>2051.58</v>
      </c>
      <c r="G217" s="7">
        <v>5.63</v>
      </c>
      <c r="H217" s="8"/>
    </row>
    <row r="218" spans="1:11" x14ac:dyDescent="0.3">
      <c r="A218" s="1">
        <v>45657</v>
      </c>
      <c r="B218">
        <v>2031.94</v>
      </c>
      <c r="G218" s="6">
        <v>5.61</v>
      </c>
      <c r="H218" s="8"/>
    </row>
    <row r="219" spans="1:11" x14ac:dyDescent="0.3">
      <c r="A219" s="1">
        <v>45688</v>
      </c>
      <c r="B219">
        <v>2044.14</v>
      </c>
      <c r="G219" s="7">
        <v>5.61</v>
      </c>
      <c r="H219" s="8"/>
    </row>
    <row r="220" spans="1:11" x14ac:dyDescent="0.3">
      <c r="A220" s="1">
        <v>45716</v>
      </c>
      <c r="B220">
        <v>2060.2199999999998</v>
      </c>
      <c r="G220" s="6">
        <v>5.61</v>
      </c>
      <c r="H220" s="8"/>
    </row>
    <row r="221" spans="1:11" x14ac:dyDescent="0.3">
      <c r="A221" s="1">
        <v>45747</v>
      </c>
      <c r="B221">
        <v>2075.36</v>
      </c>
      <c r="G221" s="7">
        <v>5.53</v>
      </c>
      <c r="H221" s="8"/>
    </row>
    <row r="222" spans="1:11" x14ac:dyDescent="0.3">
      <c r="A222" s="1">
        <v>45777</v>
      </c>
      <c r="B222">
        <v>2134.7399999999998</v>
      </c>
      <c r="G222" s="6">
        <v>4.9000000000000004</v>
      </c>
      <c r="H222" s="8"/>
    </row>
    <row r="223" spans="1:11" x14ac:dyDescent="0.3">
      <c r="A223" s="1">
        <v>45808</v>
      </c>
      <c r="B223">
        <v>2129.15</v>
      </c>
      <c r="G223" s="7">
        <v>4.83</v>
      </c>
      <c r="H223" s="8"/>
    </row>
    <row r="224" spans="1:11" x14ac:dyDescent="0.3">
      <c r="A224" s="1">
        <v>45838</v>
      </c>
      <c r="B224">
        <v>2132.65</v>
      </c>
      <c r="G224" s="6">
        <v>4.84</v>
      </c>
      <c r="H224" s="8"/>
    </row>
    <row r="225" spans="1:10" x14ac:dyDescent="0.3">
      <c r="A225" s="1">
        <v>45869</v>
      </c>
      <c r="B225">
        <v>2149.63</v>
      </c>
      <c r="G225" s="7">
        <v>4.5999999999999996</v>
      </c>
      <c r="H225" s="8"/>
    </row>
    <row r="226" spans="1:10" x14ac:dyDescent="0.3">
      <c r="A226" s="1">
        <v>45900</v>
      </c>
      <c r="B226">
        <v>2156.6999999999998</v>
      </c>
      <c r="G226" s="6">
        <v>4.5199999999999996</v>
      </c>
      <c r="H226" s="8"/>
    </row>
    <row r="227" spans="1:10" x14ac:dyDescent="0.3">
      <c r="A227" s="1">
        <v>45930</v>
      </c>
      <c r="B227">
        <v>2169.87</v>
      </c>
      <c r="G227" s="7">
        <v>4.45</v>
      </c>
      <c r="H227" s="8"/>
    </row>
    <row r="228" spans="1:10" x14ac:dyDescent="0.3">
      <c r="A228" s="1">
        <v>45961</v>
      </c>
      <c r="B228">
        <v>2190.61</v>
      </c>
      <c r="G228" s="6">
        <v>4.22</v>
      </c>
      <c r="H228" s="8"/>
    </row>
    <row r="229" spans="1:10" x14ac:dyDescent="0.3">
      <c r="A229" s="1">
        <v>45991</v>
      </c>
      <c r="B229">
        <v>2215.0300000000002</v>
      </c>
      <c r="G229" s="7">
        <v>4.05</v>
      </c>
      <c r="H229" s="8"/>
    </row>
    <row r="230" spans="1:10" x14ac:dyDescent="0.3">
      <c r="A230" s="1">
        <v>46022</v>
      </c>
      <c r="B230">
        <v>2213.2800000000002</v>
      </c>
      <c r="G230" s="6"/>
      <c r="H230" s="5"/>
    </row>
    <row r="232" spans="1:10" x14ac:dyDescent="0.3">
      <c r="H232" t="s">
        <v>10</v>
      </c>
      <c r="I232" s="5">
        <v>0.5</v>
      </c>
    </row>
    <row r="236" spans="1:10" x14ac:dyDescent="0.3">
      <c r="I236" cm="1">
        <f t="array" ref="I236:J240">LINEST(C3:C215,E3:E215,TRUE,TRUE)</f>
        <v>0.45359989121662203</v>
      </c>
      <c r="J236">
        <v>1.7538262263094276E-3</v>
      </c>
    </row>
    <row r="237" spans="1:10" x14ac:dyDescent="0.3">
      <c r="I237">
        <v>9.6971235767702151E-3</v>
      </c>
      <c r="J237">
        <v>2.5214331125212648E-4</v>
      </c>
    </row>
    <row r="238" spans="1:10" x14ac:dyDescent="0.3">
      <c r="I238">
        <v>0.91204903289715744</v>
      </c>
      <c r="J238">
        <v>3.6414632030956485E-3</v>
      </c>
    </row>
    <row r="239" spans="1:10" x14ac:dyDescent="0.3">
      <c r="I239">
        <v>2188.0640120338198</v>
      </c>
      <c r="J239">
        <v>211</v>
      </c>
    </row>
    <row r="240" spans="1:10" x14ac:dyDescent="0.3">
      <c r="I240">
        <v>2.9014285135629283E-2</v>
      </c>
      <c r="J240">
        <v>2.7979136487544195E-3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Szczeciński</dc:creator>
  <cp:lastModifiedBy>Mateusz Szczeciński</cp:lastModifiedBy>
  <dcterms:created xsi:type="dcterms:W3CDTF">2025-12-06T17:35:44Z</dcterms:created>
  <dcterms:modified xsi:type="dcterms:W3CDTF">2026-01-01T19:19:21Z</dcterms:modified>
</cp:coreProperties>
</file>