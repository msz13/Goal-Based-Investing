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Quarterly"/>
    <sheet r:id="rId2" sheetId="2" name="README"/>
  </sheets>
  <calcPr fullCalcOnLoad="1"/>
</workbook>
</file>

<file path=xl/sharedStrings.xml><?xml version="1.0" encoding="utf-8"?>
<sst xmlns="http://schemas.openxmlformats.org/spreadsheetml/2006/main" count="30" uniqueCount="24">
  <si>
    <t>FRED Graph Observations</t>
  </si>
  <si>
    <t>Federal Reserve Economic Data, Federal Reserve Bank of St. Louis</t>
  </si>
  <si>
    <t>Link: https://fred.stlouisfed.org</t>
  </si>
  <si>
    <t>Help: https://fredhelp.stlouisfed.org</t>
  </si>
  <si>
    <t>This data may be copyrighted. Please refer to the Terms of Use: https://fred.stlouisfed.org/legal#fred-terms-faq</t>
  </si>
  <si>
    <t>File Created: 2025-09-14 8:23 am CDT</t>
  </si>
  <si>
    <t>A939RX0Q048SBEA</t>
  </si>
  <si>
    <t>Real gross domestic product per capita, Chained 2017 Dollars, Quarterly, Seasonally Adjusted Annual Rate</t>
  </si>
  <si>
    <t>Data Updated: 2025-08-28</t>
  </si>
  <si>
    <t>GDPDEF</t>
  </si>
  <si>
    <t>Gross Domestic Product: Implicit Price Deflator, Index 2017=100, Quarterly, Seasonally Adjusted</t>
  </si>
  <si>
    <t>TB3MS</t>
  </si>
  <si>
    <t>3-Month Treasury Bill Secondary Market Rate, Discount Basis, Percent, Quarterly, Not Seasonally Adjusted</t>
  </si>
  <si>
    <t>Data Updated: 2025-09-02</t>
  </si>
  <si>
    <t>GS10</t>
  </si>
  <si>
    <t>Market Yield on U.S. Treasury Securities at 10-Year Constant Maturity, Quoted on an Investment Basis, Percent, Quarterly, Not Seasonally Adjusted</t>
  </si>
  <si>
    <t>observation_date</t>
  </si>
  <si>
    <t>Price_10Y</t>
  </si>
  <si>
    <t>Stock_Price</t>
  </si>
  <si>
    <t>Dividend</t>
  </si>
  <si>
    <t>E</t>
  </si>
  <si>
    <t>CAPE</t>
  </si>
  <si>
    <t>USACPIALLQINMEI</t>
  </si>
  <si>
    <t>NGDPSAXDCUSQ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</si>
</sst>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4">
    <numFmt numFmtId="164" formatCode="yyyy-mm-dd"/>
    <numFmt numFmtId="165" formatCode="#,##0.000"/>
    <numFmt numFmtId="166" formatCode="#,##0.000000000000000"/>
    <numFmt numFmtId="167" formatCode="#,##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0" borderId="0" fontId="0" fillId="0" applyAlignment="1">
      <alignment horizontal="general" wrapText="1"/>
    </xf>
    <xf xfId="0" numFmtId="0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0" borderId="0" fontId="0" fillId="0" applyAlignment="1">
      <alignment horizontal="general"/>
    </xf>
    <xf xfId="0" numFmtId="164" applyNumberFormat="1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4" applyNumberFormat="1" borderId="2" applyBorder="1" fontId="2" applyFont="1" fillId="0" applyAlignment="1">
      <alignment horizontal="center"/>
    </xf>
    <xf xfId="0" numFmtId="166" applyNumberFormat="1" borderId="2" applyBorder="1" fontId="2" applyFont="1" fillId="0" applyAlignment="1">
      <alignment horizontal="center"/>
    </xf>
    <xf xfId="0" numFmtId="167" applyNumberFormat="1" borderId="2" applyBorder="1" fontId="2" applyFont="1" fillId="0" applyAlignment="1">
      <alignment horizontal="center"/>
    </xf>
    <xf xfId="0" numFmtId="164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165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166" applyNumberFormat="1" borderId="1" applyBorder="1" fontId="1" applyFont="1" fillId="0" applyAlignment="1">
      <alignment horizontal="right"/>
    </xf>
    <xf xfId="0" numFmtId="167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16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283"/>
  <sheetViews>
    <sheetView workbookViewId="0" tabSelected="1"/>
  </sheetViews>
  <sheetFormatPr defaultRowHeight="15" x14ac:dyDescent="0.25"/>
  <cols>
    <col min="1" max="1" style="23" width="16.576428571428572" customWidth="1" bestFit="1"/>
    <col min="2" max="2" style="24" width="17.719285714285714" customWidth="1" bestFit="1"/>
    <col min="3" max="3" style="25" width="8.005" customWidth="1" bestFit="1"/>
    <col min="4" max="4" style="26" width="6.862142857142857" customWidth="1" bestFit="1"/>
    <col min="5" max="5" style="26" width="13.576428571428572" customWidth="1" bestFit="1"/>
    <col min="6" max="6" style="26" width="13.576428571428572" customWidth="1" bestFit="1"/>
    <col min="7" max="7" style="26" width="11.290714285714287" customWidth="1" bestFit="1"/>
    <col min="8" max="8" style="26" width="13.576428571428572" customWidth="1" bestFit="1"/>
    <col min="9" max="9" style="26" width="13.576428571428572" customWidth="1" bestFit="1"/>
    <col min="10" max="10" style="26" width="13.576428571428572" customWidth="1" bestFit="1"/>
    <col min="11" max="11" style="27" width="20.005" customWidth="1" bestFit="1"/>
    <col min="12" max="12" style="28" width="15.005" customWidth="1" bestFit="1"/>
  </cols>
  <sheetData>
    <row x14ac:dyDescent="0.25" r="1" customHeight="1" ht="20.25">
      <c r="A1" s="7" t="s">
        <v>16</v>
      </c>
      <c r="B1" s="8" t="s">
        <v>6</v>
      </c>
      <c r="C1" s="9" t="s">
        <v>9</v>
      </c>
      <c r="D1" s="10" t="s">
        <v>11</v>
      </c>
      <c r="E1" s="10" t="s">
        <v>14</v>
      </c>
      <c r="F1" s="10" t="s">
        <v>17</v>
      </c>
      <c r="G1" s="10" t="s">
        <v>18</v>
      </c>
      <c r="H1" s="10" t="s">
        <v>19</v>
      </c>
      <c r="I1" s="10" t="s">
        <v>20</v>
      </c>
      <c r="J1" s="10" t="s">
        <v>21</v>
      </c>
      <c r="K1" s="11" t="s">
        <v>22</v>
      </c>
      <c r="L1" s="12" t="s">
        <v>23</v>
      </c>
    </row>
    <row x14ac:dyDescent="0.25" r="2" customHeight="1" ht="18.75">
      <c r="A2" s="13">
        <v>20090</v>
      </c>
      <c r="B2" s="14">
        <v>18396</v>
      </c>
      <c r="C2" s="15">
        <v>13.675</v>
      </c>
      <c r="D2" s="16">
        <v>1.22</v>
      </c>
      <c r="E2" s="16">
        <v>2.65</v>
      </c>
      <c r="F2" s="16">
        <f>VLOOKUP($A2,[1]Data!$A$2:$L$873,3)</f>
      </c>
      <c r="G2" s="16">
        <f>VLOOKUP($A2,[1]Data!$A$2:$L$873,4)</f>
      </c>
      <c r="H2" s="16">
        <f>VLOOKUP($A2,[1]Data!$A$2:$L$873,5)</f>
      </c>
      <c r="I2" s="16">
        <f>VLOOKUP($A2,[1]Data!$A$2:$L$873,6)</f>
      </c>
      <c r="J2" s="16">
        <f>VLOOKUP($A2,[1]Data!$A$2:$L$873,7)</f>
      </c>
      <c r="K2" s="17">
        <v>11.26501</v>
      </c>
      <c r="L2" s="18">
        <v>103268.3</v>
      </c>
    </row>
    <row x14ac:dyDescent="0.25" r="3" customHeight="1" ht="18.75">
      <c r="A3" s="13">
        <v>20180</v>
      </c>
      <c r="B3" s="14">
        <v>18621</v>
      </c>
      <c r="C3" s="15">
        <v>13.731</v>
      </c>
      <c r="D3" s="16">
        <v>1.48</v>
      </c>
      <c r="E3" s="16">
        <v>2.76</v>
      </c>
      <c r="F3" s="16">
        <f>VLOOKUP($A3,[1]Data!$A$2:$L$873,3)</f>
      </c>
      <c r="G3" s="16">
        <f>VLOOKUP($A3,[1]Data!$A$2:$L$873,4)</f>
      </c>
      <c r="H3" s="16">
        <f>VLOOKUP($A3,[1]Data!$A$2:$L$873,5)</f>
      </c>
      <c r="I3" s="16">
        <f>VLOOKUP($A3,[1]Data!$A$2:$L$873,6)</f>
      </c>
      <c r="J3" s="16">
        <f>VLOOKUP($A3,[1]Data!$A$2:$L$873,7)</f>
      </c>
      <c r="K3" s="17">
        <v>11.26501</v>
      </c>
      <c r="L3" s="18">
        <v>105383</v>
      </c>
    </row>
    <row x14ac:dyDescent="0.25" r="4" customHeight="1" ht="18.75">
      <c r="A4" s="13">
        <v>20271</v>
      </c>
      <c r="B4" s="14">
        <v>18787</v>
      </c>
      <c r="C4" s="15">
        <v>13.827</v>
      </c>
      <c r="D4" s="16">
        <v>1.86</v>
      </c>
      <c r="E4" s="16">
        <v>2.95</v>
      </c>
      <c r="F4" s="16">
        <f>VLOOKUP($A4,[1]Data!$A$2:$L$873,3)</f>
      </c>
      <c r="G4" s="16">
        <f>VLOOKUP($A4,[1]Data!$A$2:$L$873,4)</f>
      </c>
      <c r="H4" s="16">
        <f>VLOOKUP($A4,[1]Data!$A$2:$L$873,5)</f>
      </c>
      <c r="I4" s="16">
        <f>VLOOKUP($A4,[1]Data!$A$2:$L$873,6)</f>
      </c>
      <c r="J4" s="16">
        <f>VLOOKUP($A4,[1]Data!$A$2:$L$873,7)</f>
      </c>
      <c r="K4" s="17">
        <v>11.32127</v>
      </c>
      <c r="L4" s="18">
        <v>107555.3</v>
      </c>
    </row>
    <row x14ac:dyDescent="0.25" r="5" customHeight="1" ht="18.75">
      <c r="A5" s="13">
        <v>20363</v>
      </c>
      <c r="B5" s="14">
        <v>18808</v>
      </c>
      <c r="C5" s="15">
        <v>13.964</v>
      </c>
      <c r="D5" s="16">
        <v>2.34</v>
      </c>
      <c r="E5" s="16">
        <v>2.91</v>
      </c>
      <c r="F5" s="16">
        <f>VLOOKUP($A5,[1]Data!$A$2:$L$873,3)</f>
      </c>
      <c r="G5" s="16">
        <f>VLOOKUP($A5,[1]Data!$A$2:$L$873,4)</f>
      </c>
      <c r="H5" s="16">
        <f>VLOOKUP($A5,[1]Data!$A$2:$L$873,5)</f>
      </c>
      <c r="I5" s="16">
        <f>VLOOKUP($A5,[1]Data!$A$2:$L$873,6)</f>
      </c>
      <c r="J5" s="16">
        <f>VLOOKUP($A5,[1]Data!$A$2:$L$873,7)</f>
      </c>
      <c r="K5" s="17">
        <v>11.33533</v>
      </c>
      <c r="L5" s="18">
        <v>109273</v>
      </c>
    </row>
    <row x14ac:dyDescent="0.25" r="6" customHeight="1" ht="18.75">
      <c r="A6" s="13">
        <v>20455</v>
      </c>
      <c r="B6" s="14">
        <v>18658</v>
      </c>
      <c r="C6" s="15">
        <v>14.104</v>
      </c>
      <c r="D6" s="16">
        <v>2.33</v>
      </c>
      <c r="E6" s="16">
        <v>2.9</v>
      </c>
      <c r="F6" s="16">
        <f>VLOOKUP($A6,[1]Data!$A$2:$L$873,3)</f>
      </c>
      <c r="G6" s="16">
        <f>VLOOKUP($A6,[1]Data!$A$2:$L$873,4)</f>
      </c>
      <c r="H6" s="16">
        <f>VLOOKUP($A6,[1]Data!$A$2:$L$873,5)</f>
      </c>
      <c r="I6" s="16">
        <f>VLOOKUP($A6,[1]Data!$A$2:$L$873,6)</f>
      </c>
      <c r="J6" s="16">
        <f>VLOOKUP($A6,[1]Data!$A$2:$L$873,7)</f>
      </c>
      <c r="K6" s="17">
        <v>11.30721</v>
      </c>
      <c r="L6" s="18">
        <v>109936.5</v>
      </c>
    </row>
    <row x14ac:dyDescent="0.25" r="7" customHeight="1" ht="18.75">
      <c r="A7" s="13">
        <v>20546</v>
      </c>
      <c r="B7" s="14">
        <v>18736</v>
      </c>
      <c r="C7" s="15">
        <v>14.187</v>
      </c>
      <c r="D7" s="16">
        <v>2.57</v>
      </c>
      <c r="E7" s="16">
        <v>3.08</v>
      </c>
      <c r="F7" s="16">
        <f>VLOOKUP($A7,[1]Data!$A$2:$L$873,3)</f>
      </c>
      <c r="G7" s="16">
        <f>VLOOKUP($A7,[1]Data!$A$2:$L$873,4)</f>
      </c>
      <c r="H7" s="16">
        <f>VLOOKUP($A7,[1]Data!$A$2:$L$873,5)</f>
      </c>
      <c r="I7" s="16">
        <f>VLOOKUP($A7,[1]Data!$A$2:$L$873,6)</f>
      </c>
      <c r="J7" s="16">
        <f>VLOOKUP($A7,[1]Data!$A$2:$L$873,7)</f>
      </c>
      <c r="K7" s="17">
        <v>11.40565</v>
      </c>
      <c r="L7" s="18">
        <v>111502.5</v>
      </c>
    </row>
    <row x14ac:dyDescent="0.25" r="8" customHeight="1" ht="18.75">
      <c r="A8" s="13">
        <v>20637</v>
      </c>
      <c r="B8" s="14">
        <v>18632</v>
      </c>
      <c r="C8" s="15">
        <v>14.365</v>
      </c>
      <c r="D8" s="16">
        <v>2.58</v>
      </c>
      <c r="E8" s="16">
        <v>3.27</v>
      </c>
      <c r="F8" s="16">
        <f>VLOOKUP($A8,[1]Data!$A$2:$L$873,3)</f>
      </c>
      <c r="G8" s="16">
        <f>VLOOKUP($A8,[1]Data!$A$2:$L$873,4)</f>
      </c>
      <c r="H8" s="16">
        <f>VLOOKUP($A8,[1]Data!$A$2:$L$873,5)</f>
      </c>
      <c r="I8" s="16">
        <f>VLOOKUP($A8,[1]Data!$A$2:$L$873,6)</f>
      </c>
      <c r="J8" s="16">
        <f>VLOOKUP($A8,[1]Data!$A$2:$L$873,7)</f>
      </c>
      <c r="K8" s="17">
        <v>11.54629</v>
      </c>
      <c r="L8" s="18">
        <v>112797.8</v>
      </c>
    </row>
    <row x14ac:dyDescent="0.25" r="9" customHeight="1" ht="18.75">
      <c r="A9" s="13">
        <v>20729</v>
      </c>
      <c r="B9" s="14">
        <v>18845</v>
      </c>
      <c r="C9" s="15">
        <v>14.423</v>
      </c>
      <c r="D9" s="16">
        <v>3.03</v>
      </c>
      <c r="E9" s="16">
        <v>3.47</v>
      </c>
      <c r="F9" s="16">
        <f>VLOOKUP($A9,[1]Data!$A$2:$L$873,3)</f>
      </c>
      <c r="G9" s="16">
        <f>VLOOKUP($A9,[1]Data!$A$2:$L$873,4)</f>
      </c>
      <c r="H9" s="16">
        <f>VLOOKUP($A9,[1]Data!$A$2:$L$873,5)</f>
      </c>
      <c r="I9" s="16">
        <f>VLOOKUP($A9,[1]Data!$A$2:$L$873,6)</f>
      </c>
      <c r="J9" s="16">
        <f>VLOOKUP($A9,[1]Data!$A$2:$L$873,7)</f>
      </c>
      <c r="K9" s="17">
        <v>11.61661</v>
      </c>
      <c r="L9" s="18">
        <v>115115.8</v>
      </c>
    </row>
    <row x14ac:dyDescent="0.25" r="10" customHeight="1" ht="18.75">
      <c r="A10" s="13">
        <v>20821</v>
      </c>
      <c r="B10" s="14">
        <v>18881</v>
      </c>
      <c r="C10" s="15">
        <v>14.621</v>
      </c>
      <c r="D10" s="16">
        <v>3.1</v>
      </c>
      <c r="E10" s="16">
        <v>3.4</v>
      </c>
      <c r="F10" s="16">
        <f>VLOOKUP($A10,[1]Data!$A$2:$L$873,3)</f>
      </c>
      <c r="G10" s="16">
        <f>VLOOKUP($A10,[1]Data!$A$2:$L$873,4)</f>
      </c>
      <c r="H10" s="16">
        <f>VLOOKUP($A10,[1]Data!$A$2:$L$873,5)</f>
      </c>
      <c r="I10" s="16">
        <f>VLOOKUP($A10,[1]Data!$A$2:$L$873,6)</f>
      </c>
      <c r="J10" s="16">
        <f>VLOOKUP($A10,[1]Data!$A$2:$L$873,7)</f>
      </c>
      <c r="K10" s="17">
        <v>11.68692</v>
      </c>
      <c r="L10" s="18">
        <v>117444.8</v>
      </c>
    </row>
    <row x14ac:dyDescent="0.25" r="11" customHeight="1" ht="18.75">
      <c r="A11" s="13">
        <v>20911</v>
      </c>
      <c r="B11" s="14">
        <v>18763</v>
      </c>
      <c r="C11" s="15">
        <v>14.723</v>
      </c>
      <c r="D11" s="16">
        <v>3.14</v>
      </c>
      <c r="E11" s="16">
        <v>3.63</v>
      </c>
      <c r="F11" s="16">
        <f>VLOOKUP($A11,[1]Data!$A$2:$L$873,3)</f>
      </c>
      <c r="G11" s="16">
        <f>VLOOKUP($A11,[1]Data!$A$2:$L$873,4)</f>
      </c>
      <c r="H11" s="16">
        <f>VLOOKUP($A11,[1]Data!$A$2:$L$873,5)</f>
      </c>
      <c r="I11" s="16">
        <f>VLOOKUP($A11,[1]Data!$A$2:$L$873,6)</f>
      </c>
      <c r="J11" s="16">
        <f>VLOOKUP($A11,[1]Data!$A$2:$L$873,7)</f>
      </c>
      <c r="K11" s="17">
        <v>11.8135</v>
      </c>
      <c r="L11" s="18">
        <v>118006.3</v>
      </c>
    </row>
    <row x14ac:dyDescent="0.25" r="12" customHeight="1" ht="18.75">
      <c r="A12" s="13">
        <v>21002</v>
      </c>
      <c r="B12" s="14">
        <v>18862</v>
      </c>
      <c r="C12" s="15">
        <v>14.811</v>
      </c>
      <c r="D12" s="16">
        <v>3.35</v>
      </c>
      <c r="E12" s="16">
        <v>3.93</v>
      </c>
      <c r="F12" s="16">
        <f>VLOOKUP($A12,[1]Data!$A$2:$L$873,3)</f>
      </c>
      <c r="G12" s="16">
        <f>VLOOKUP($A12,[1]Data!$A$2:$L$873,4)</f>
      </c>
      <c r="H12" s="16">
        <f>VLOOKUP($A12,[1]Data!$A$2:$L$873,5)</f>
      </c>
      <c r="I12" s="16">
        <f>VLOOKUP($A12,[1]Data!$A$2:$L$873,6)</f>
      </c>
      <c r="J12" s="16">
        <f>VLOOKUP($A12,[1]Data!$A$2:$L$873,7)</f>
      </c>
      <c r="K12" s="17">
        <v>11.94007</v>
      </c>
      <c r="L12" s="18">
        <v>119872.5</v>
      </c>
    </row>
    <row x14ac:dyDescent="0.25" r="13" customHeight="1" ht="18.75">
      <c r="A13" s="13">
        <v>21094</v>
      </c>
      <c r="B13" s="14">
        <v>18582</v>
      </c>
      <c r="C13" s="15">
        <v>14.821</v>
      </c>
      <c r="D13" s="16">
        <v>3.31</v>
      </c>
      <c r="E13" s="16">
        <v>3.63</v>
      </c>
      <c r="F13" s="16">
        <f>VLOOKUP($A13,[1]Data!$A$2:$L$873,3)</f>
      </c>
      <c r="G13" s="16">
        <f>VLOOKUP($A13,[1]Data!$A$2:$L$873,4)</f>
      </c>
      <c r="H13" s="16">
        <f>VLOOKUP($A13,[1]Data!$A$2:$L$873,5)</f>
      </c>
      <c r="I13" s="16">
        <f>VLOOKUP($A13,[1]Data!$A$2:$L$873,6)</f>
      </c>
      <c r="J13" s="16">
        <f>VLOOKUP($A13,[1]Data!$A$2:$L$873,7)</f>
      </c>
      <c r="K13" s="17">
        <v>11.9682</v>
      </c>
      <c r="L13" s="18">
        <v>118716</v>
      </c>
    </row>
    <row x14ac:dyDescent="0.25" r="14" customHeight="1" ht="18.75">
      <c r="A14" s="13">
        <v>21186</v>
      </c>
      <c r="B14" s="14">
        <v>18032</v>
      </c>
      <c r="C14" s="15">
        <v>14.982</v>
      </c>
      <c r="D14" s="16">
        <v>1.76</v>
      </c>
      <c r="E14" s="16">
        <v>3.04</v>
      </c>
      <c r="F14" s="16">
        <f>VLOOKUP($A14,[1]Data!$A$2:$L$873,3)</f>
      </c>
      <c r="G14" s="16">
        <f>VLOOKUP($A14,[1]Data!$A$2:$L$873,4)</f>
      </c>
      <c r="H14" s="16">
        <f>VLOOKUP($A14,[1]Data!$A$2:$L$873,5)</f>
      </c>
      <c r="I14" s="16">
        <f>VLOOKUP($A14,[1]Data!$A$2:$L$873,6)</f>
      </c>
      <c r="J14" s="16">
        <f>VLOOKUP($A14,[1]Data!$A$2:$L$873,7)</f>
      </c>
      <c r="K14" s="17">
        <v>12.09477</v>
      </c>
      <c r="L14" s="18">
        <v>116885</v>
      </c>
    </row>
    <row x14ac:dyDescent="0.25" r="15" customHeight="1" ht="18.75">
      <c r="A15" s="13">
        <v>21276</v>
      </c>
      <c r="B15" s="14">
        <v>18081</v>
      </c>
      <c r="C15" s="15">
        <v>15.025</v>
      </c>
      <c r="D15" s="16">
        <v>0.96</v>
      </c>
      <c r="E15" s="16">
        <v>2.92</v>
      </c>
      <c r="F15" s="16">
        <f>VLOOKUP($A15,[1]Data!$A$2:$L$873,3)</f>
      </c>
      <c r="G15" s="16">
        <f>VLOOKUP($A15,[1]Data!$A$2:$L$873,4)</f>
      </c>
      <c r="H15" s="16">
        <f>VLOOKUP($A15,[1]Data!$A$2:$L$873,5)</f>
      </c>
      <c r="I15" s="16">
        <f>VLOOKUP($A15,[1]Data!$A$2:$L$873,6)</f>
      </c>
      <c r="J15" s="16">
        <f>VLOOKUP($A15,[1]Data!$A$2:$L$873,7)</f>
      </c>
      <c r="K15" s="17">
        <v>12.19322</v>
      </c>
      <c r="L15" s="18">
        <v>117994.5</v>
      </c>
    </row>
    <row x14ac:dyDescent="0.25" r="16" customHeight="1" ht="18.75">
      <c r="A16" s="13">
        <v>21367</v>
      </c>
      <c r="B16" s="14">
        <v>18419</v>
      </c>
      <c r="C16" s="15">
        <v>15.117</v>
      </c>
      <c r="D16" s="16">
        <v>1.68</v>
      </c>
      <c r="E16" s="16">
        <v>3.5</v>
      </c>
      <c r="F16" s="16">
        <f>VLOOKUP($A16,[1]Data!$A$2:$L$873,3)</f>
      </c>
      <c r="G16" s="16">
        <f>VLOOKUP($A16,[1]Data!$A$2:$L$873,4)</f>
      </c>
      <c r="H16" s="16">
        <f>VLOOKUP($A16,[1]Data!$A$2:$L$873,5)</f>
      </c>
      <c r="I16" s="16">
        <f>VLOOKUP($A16,[1]Data!$A$2:$L$873,6)</f>
      </c>
      <c r="J16" s="16">
        <f>VLOOKUP($A16,[1]Data!$A$2:$L$873,7)</f>
      </c>
      <c r="K16" s="17">
        <v>12.20728</v>
      </c>
      <c r="L16" s="18">
        <v>121460.3</v>
      </c>
    </row>
    <row x14ac:dyDescent="0.25" r="17" customHeight="1" ht="18.75">
      <c r="A17" s="13">
        <v>21459</v>
      </c>
      <c r="B17" s="14">
        <v>18764</v>
      </c>
      <c r="C17" s="15">
        <v>15.189</v>
      </c>
      <c r="D17" s="16">
        <v>2.69</v>
      </c>
      <c r="E17" s="16">
        <v>3.8</v>
      </c>
      <c r="F17" s="16">
        <f>VLOOKUP($A17,[1]Data!$A$2:$L$873,3)</f>
      </c>
      <c r="G17" s="16">
        <f>VLOOKUP($A17,[1]Data!$A$2:$L$873,4)</f>
      </c>
      <c r="H17" s="16">
        <f>VLOOKUP($A17,[1]Data!$A$2:$L$873,5)</f>
      </c>
      <c r="I17" s="16">
        <f>VLOOKUP($A17,[1]Data!$A$2:$L$873,6)</f>
      </c>
      <c r="J17" s="16">
        <f>VLOOKUP($A17,[1]Data!$A$2:$L$873,7)</f>
      </c>
      <c r="K17" s="17">
        <v>12.20728</v>
      </c>
      <c r="L17" s="18">
        <v>124888.8</v>
      </c>
    </row>
    <row x14ac:dyDescent="0.25" r="18" customHeight="1" ht="18.75">
      <c r="A18" s="13">
        <v>21551</v>
      </c>
      <c r="B18" s="14">
        <v>19041</v>
      </c>
      <c r="C18" s="15">
        <v>15.224</v>
      </c>
      <c r="D18" s="16">
        <v>2.77</v>
      </c>
      <c r="E18" s="16">
        <v>3.99</v>
      </c>
      <c r="F18" s="16">
        <f>VLOOKUP($A18,[1]Data!$A$2:$L$873,3)</f>
      </c>
      <c r="G18" s="16">
        <f>VLOOKUP($A18,[1]Data!$A$2:$L$873,4)</f>
      </c>
      <c r="H18" s="16">
        <f>VLOOKUP($A18,[1]Data!$A$2:$L$873,5)</f>
      </c>
      <c r="I18" s="16">
        <f>VLOOKUP($A18,[1]Data!$A$2:$L$873,6)</f>
      </c>
      <c r="J18" s="16">
        <f>VLOOKUP($A18,[1]Data!$A$2:$L$873,7)</f>
      </c>
      <c r="K18" s="17">
        <v>12.20728</v>
      </c>
      <c r="L18" s="18">
        <v>127582.5</v>
      </c>
    </row>
    <row x14ac:dyDescent="0.25" r="19" customHeight="1" ht="18.75">
      <c r="A19" s="13">
        <v>21641</v>
      </c>
      <c r="B19" s="14">
        <v>19395</v>
      </c>
      <c r="C19" s="15">
        <v>15.248</v>
      </c>
      <c r="D19" s="16">
        <v>3</v>
      </c>
      <c r="E19" s="16">
        <v>4.26</v>
      </c>
      <c r="F19" s="16">
        <f>VLOOKUP($A19,[1]Data!$A$2:$L$873,3)</f>
      </c>
      <c r="G19" s="16">
        <f>VLOOKUP($A19,[1]Data!$A$2:$L$873,4)</f>
      </c>
      <c r="H19" s="16">
        <f>VLOOKUP($A19,[1]Data!$A$2:$L$873,5)</f>
      </c>
      <c r="I19" s="16">
        <f>VLOOKUP($A19,[1]Data!$A$2:$L$873,6)</f>
      </c>
      <c r="J19" s="16">
        <f>VLOOKUP($A19,[1]Data!$A$2:$L$873,7)</f>
      </c>
      <c r="K19" s="17">
        <v>12.24947</v>
      </c>
      <c r="L19" s="18">
        <v>130663.3</v>
      </c>
    </row>
    <row x14ac:dyDescent="0.25" r="20" customHeight="1" ht="18.75">
      <c r="A20" s="13">
        <v>21732</v>
      </c>
      <c r="B20" s="14">
        <v>19326</v>
      </c>
      <c r="C20" s="15">
        <v>15.307</v>
      </c>
      <c r="D20" s="16">
        <v>3.54</v>
      </c>
      <c r="E20" s="16">
        <v>4.5</v>
      </c>
      <c r="F20" s="16">
        <f>VLOOKUP($A20,[1]Data!$A$2:$L$873,3)</f>
      </c>
      <c r="G20" s="16">
        <f>VLOOKUP($A20,[1]Data!$A$2:$L$873,4)</f>
      </c>
      <c r="H20" s="16">
        <f>VLOOKUP($A20,[1]Data!$A$2:$L$873,5)</f>
      </c>
      <c r="I20" s="16">
        <f>VLOOKUP($A20,[1]Data!$A$2:$L$873,6)</f>
      </c>
      <c r="J20" s="16">
        <f>VLOOKUP($A20,[1]Data!$A$2:$L$873,7)</f>
      </c>
      <c r="K20" s="17">
        <v>12.33385</v>
      </c>
      <c r="L20" s="18">
        <v>131258.5</v>
      </c>
    </row>
    <row x14ac:dyDescent="0.25" r="21" customHeight="1" ht="18.75">
      <c r="A21" s="13">
        <v>21824</v>
      </c>
      <c r="B21" s="14">
        <v>19296</v>
      </c>
      <c r="C21" s="15">
        <v>15.367</v>
      </c>
      <c r="D21" s="16">
        <v>4.23</v>
      </c>
      <c r="E21" s="16">
        <v>4.58</v>
      </c>
      <c r="F21" s="16">
        <f>VLOOKUP($A21,[1]Data!$A$2:$L$873,3)</f>
      </c>
      <c r="G21" s="16">
        <f>VLOOKUP($A21,[1]Data!$A$2:$L$873,4)</f>
      </c>
      <c r="H21" s="16">
        <f>VLOOKUP($A21,[1]Data!$A$2:$L$873,5)</f>
      </c>
      <c r="I21" s="16">
        <f>VLOOKUP($A21,[1]Data!$A$2:$L$873,6)</f>
      </c>
      <c r="J21" s="16">
        <f>VLOOKUP($A21,[1]Data!$A$2:$L$873,7)</f>
      </c>
      <c r="K21" s="17">
        <v>12.40417</v>
      </c>
      <c r="L21" s="18">
        <v>132150</v>
      </c>
    </row>
    <row x14ac:dyDescent="0.25" r="22" customHeight="1" ht="18.75">
      <c r="A22" s="13">
        <v>21916</v>
      </c>
      <c r="B22" s="14">
        <v>19614</v>
      </c>
      <c r="C22" s="15">
        <v>15.428</v>
      </c>
      <c r="D22" s="16">
        <v>3.87</v>
      </c>
      <c r="E22" s="16">
        <v>4.49</v>
      </c>
      <c r="F22" s="16">
        <f>VLOOKUP($A22,[1]Data!$A$2:$L$873,3)</f>
      </c>
      <c r="G22" s="16">
        <f>VLOOKUP($A22,[1]Data!$A$2:$L$873,4)</f>
      </c>
      <c r="H22" s="16">
        <f>VLOOKUP($A22,[1]Data!$A$2:$L$873,5)</f>
      </c>
      <c r="I22" s="16">
        <f>VLOOKUP($A22,[1]Data!$A$2:$L$873,6)</f>
      </c>
      <c r="J22" s="16">
        <f>VLOOKUP($A22,[1]Data!$A$2:$L$873,7)</f>
      </c>
      <c r="K22" s="17">
        <v>12.39011</v>
      </c>
      <c r="L22" s="18">
        <v>135662</v>
      </c>
    </row>
    <row x14ac:dyDescent="0.25" r="23" customHeight="1" ht="18.75">
      <c r="A23" s="13">
        <v>22007</v>
      </c>
      <c r="B23" s="14">
        <v>19392</v>
      </c>
      <c r="C23" s="15">
        <v>15.467</v>
      </c>
      <c r="D23" s="16">
        <v>2.99</v>
      </c>
      <c r="E23" s="16">
        <v>4.26</v>
      </c>
      <c r="F23" s="16">
        <f>VLOOKUP($A23,[1]Data!$A$2:$L$873,3)</f>
      </c>
      <c r="G23" s="16">
        <f>VLOOKUP($A23,[1]Data!$A$2:$L$873,4)</f>
      </c>
      <c r="H23" s="16">
        <f>VLOOKUP($A23,[1]Data!$A$2:$L$873,5)</f>
      </c>
      <c r="I23" s="16">
        <f>VLOOKUP($A23,[1]Data!$A$2:$L$873,6)</f>
      </c>
      <c r="J23" s="16">
        <f>VLOOKUP($A23,[1]Data!$A$2:$L$873,7)</f>
      </c>
      <c r="K23" s="17">
        <v>12.46043</v>
      </c>
      <c r="L23" s="18">
        <v>135270</v>
      </c>
    </row>
    <row x14ac:dyDescent="0.25" r="24" customHeight="1" ht="18.75">
      <c r="A24" s="13">
        <v>22098</v>
      </c>
      <c r="B24" s="14">
        <v>19390</v>
      </c>
      <c r="C24" s="15">
        <v>15.52</v>
      </c>
      <c r="D24" s="16">
        <v>2.36</v>
      </c>
      <c r="E24" s="16">
        <v>3.83</v>
      </c>
      <c r="F24" s="16">
        <f>VLOOKUP($A24,[1]Data!$A$2:$L$873,3)</f>
      </c>
      <c r="G24" s="16">
        <f>VLOOKUP($A24,[1]Data!$A$2:$L$873,4)</f>
      </c>
      <c r="H24" s="16">
        <f>VLOOKUP($A24,[1]Data!$A$2:$L$873,5)</f>
      </c>
      <c r="I24" s="16">
        <f>VLOOKUP($A24,[1]Data!$A$2:$L$873,6)</f>
      </c>
      <c r="J24" s="16">
        <f>VLOOKUP($A24,[1]Data!$A$2:$L$873,7)</f>
      </c>
      <c r="K24" s="17">
        <v>12.48856</v>
      </c>
      <c r="L24" s="18">
        <v>136401</v>
      </c>
    </row>
    <row x14ac:dyDescent="0.25" r="25" customHeight="1" ht="18.75">
      <c r="A25" s="13">
        <v>22190</v>
      </c>
      <c r="B25" s="14">
        <v>19065</v>
      </c>
      <c r="C25" s="15">
        <v>15.566</v>
      </c>
      <c r="D25" s="16">
        <v>2.31</v>
      </c>
      <c r="E25" s="16">
        <v>3.89</v>
      </c>
      <c r="F25" s="16">
        <f>VLOOKUP($A25,[1]Data!$A$2:$L$873,3)</f>
      </c>
      <c r="G25" s="16">
        <f>VLOOKUP($A25,[1]Data!$A$2:$L$873,4)</f>
      </c>
      <c r="H25" s="16">
        <f>VLOOKUP($A25,[1]Data!$A$2:$L$873,5)</f>
      </c>
      <c r="I25" s="16">
        <f>VLOOKUP($A25,[1]Data!$A$2:$L$873,6)</f>
      </c>
      <c r="J25" s="16">
        <f>VLOOKUP($A25,[1]Data!$A$2:$L$873,7)</f>
      </c>
      <c r="K25" s="17">
        <v>12.57294</v>
      </c>
      <c r="L25" s="18">
        <v>135049.3</v>
      </c>
    </row>
    <row x14ac:dyDescent="0.25" r="26" customHeight="1" ht="18.75">
      <c r="A26" s="13">
        <v>22282</v>
      </c>
      <c r="B26" s="14">
        <v>19130</v>
      </c>
      <c r="C26" s="15">
        <v>15.6</v>
      </c>
      <c r="D26" s="16">
        <v>2.35</v>
      </c>
      <c r="E26" s="16">
        <v>3.79</v>
      </c>
      <c r="F26" s="16">
        <f>VLOOKUP($A26,[1]Data!$A$2:$L$873,3)</f>
      </c>
      <c r="G26" s="16">
        <f>VLOOKUP($A26,[1]Data!$A$2:$L$873,4)</f>
      </c>
      <c r="H26" s="16">
        <f>VLOOKUP($A26,[1]Data!$A$2:$L$873,5)</f>
      </c>
      <c r="I26" s="16">
        <f>VLOOKUP($A26,[1]Data!$A$2:$L$873,6)</f>
      </c>
      <c r="J26" s="16">
        <f>VLOOKUP($A26,[1]Data!$A$2:$L$873,7)</f>
      </c>
      <c r="K26" s="17">
        <v>12.57294</v>
      </c>
      <c r="L26" s="18">
        <v>136254.5</v>
      </c>
    </row>
    <row x14ac:dyDescent="0.25" r="27" customHeight="1" ht="18.75">
      <c r="A27" s="13">
        <v>22372</v>
      </c>
      <c r="B27" s="14">
        <v>19380</v>
      </c>
      <c r="C27" s="15">
        <v>15.636</v>
      </c>
      <c r="D27" s="16">
        <v>2.3</v>
      </c>
      <c r="E27" s="16">
        <v>3.79</v>
      </c>
      <c r="F27" s="16">
        <f>VLOOKUP($A27,[1]Data!$A$2:$L$873,3)</f>
      </c>
      <c r="G27" s="16">
        <f>VLOOKUP($A27,[1]Data!$A$2:$L$873,4)</f>
      </c>
      <c r="H27" s="16">
        <f>VLOOKUP($A27,[1]Data!$A$2:$L$873,5)</f>
      </c>
      <c r="I27" s="16">
        <f>VLOOKUP($A27,[1]Data!$A$2:$L$873,6)</f>
      </c>
      <c r="J27" s="16">
        <f>VLOOKUP($A27,[1]Data!$A$2:$L$873,7)</f>
      </c>
      <c r="K27" s="17">
        <v>12.57294</v>
      </c>
      <c r="L27" s="18">
        <v>138886.3</v>
      </c>
    </row>
    <row x14ac:dyDescent="0.25" r="28" customHeight="1" ht="18.75">
      <c r="A28" s="13">
        <v>22463</v>
      </c>
      <c r="B28" s="14">
        <v>19670</v>
      </c>
      <c r="C28" s="15">
        <v>15.676</v>
      </c>
      <c r="D28" s="16">
        <v>2.3</v>
      </c>
      <c r="E28" s="16">
        <v>3.98</v>
      </c>
      <c r="F28" s="16">
        <f>VLOOKUP($A28,[1]Data!$A$2:$L$873,3)</f>
      </c>
      <c r="G28" s="16">
        <f>VLOOKUP($A28,[1]Data!$A$2:$L$873,4)</f>
      </c>
      <c r="H28" s="16">
        <f>VLOOKUP($A28,[1]Data!$A$2:$L$873,5)</f>
      </c>
      <c r="I28" s="16">
        <f>VLOOKUP($A28,[1]Data!$A$2:$L$873,6)</f>
      </c>
      <c r="J28" s="16">
        <f>VLOOKUP($A28,[1]Data!$A$2:$L$873,7)</f>
      </c>
      <c r="K28" s="17">
        <v>12.64326</v>
      </c>
      <c r="L28" s="18">
        <v>141916</v>
      </c>
    </row>
    <row x14ac:dyDescent="0.25" r="29" customHeight="1" ht="18.75">
      <c r="A29" s="13">
        <v>22555</v>
      </c>
      <c r="B29" s="14">
        <v>19970</v>
      </c>
      <c r="C29" s="15">
        <v>15.725</v>
      </c>
      <c r="D29" s="16">
        <v>2.46</v>
      </c>
      <c r="E29" s="16">
        <v>3.97</v>
      </c>
      <c r="F29" s="16">
        <f>VLOOKUP($A29,[1]Data!$A$2:$L$873,3)</f>
      </c>
      <c r="G29" s="16">
        <f>VLOOKUP($A29,[1]Data!$A$2:$L$873,4)</f>
      </c>
      <c r="H29" s="14">
        <f>VLOOKUP($A29,[1]Data!$A$2:$L$873,5)</f>
      </c>
      <c r="I29" s="16">
        <f>VLOOKUP($A29,[1]Data!$A$2:$L$873,6)</f>
      </c>
      <c r="J29" s="16">
        <f>VLOOKUP($A29,[1]Data!$A$2:$L$873,7)</f>
      </c>
      <c r="K29" s="17">
        <v>12.65732</v>
      </c>
      <c r="L29" s="18">
        <v>145153</v>
      </c>
    </row>
    <row x14ac:dyDescent="0.25" r="30" customHeight="1" ht="18.75">
      <c r="A30" s="13">
        <v>22647</v>
      </c>
      <c r="B30" s="14">
        <v>20254</v>
      </c>
      <c r="C30" s="15">
        <v>15.806</v>
      </c>
      <c r="D30" s="16">
        <v>2.72</v>
      </c>
      <c r="E30" s="16">
        <v>4.02</v>
      </c>
      <c r="F30" s="16">
        <f>VLOOKUP($A30,[1]Data!$A$2:$L$873,3)</f>
      </c>
      <c r="G30" s="16">
        <f>VLOOKUP($A30,[1]Data!$A$2:$L$873,4)</f>
      </c>
      <c r="H30" s="16">
        <f>VLOOKUP($A30,[1]Data!$A$2:$L$873,5)</f>
      </c>
      <c r="I30" s="16">
        <f>VLOOKUP($A30,[1]Data!$A$2:$L$873,6)</f>
      </c>
      <c r="J30" s="16">
        <f>VLOOKUP($A30,[1]Data!$A$2:$L$873,7)</f>
      </c>
      <c r="K30" s="17">
        <v>12.68545</v>
      </c>
      <c r="L30" s="18">
        <v>148503.3</v>
      </c>
    </row>
    <row x14ac:dyDescent="0.25" r="31" customHeight="1" ht="18.75">
      <c r="A31" s="13">
        <v>22737</v>
      </c>
      <c r="B31" s="14">
        <v>20366</v>
      </c>
      <c r="C31" s="15">
        <v>15.832</v>
      </c>
      <c r="D31" s="16">
        <v>2.72</v>
      </c>
      <c r="E31" s="16">
        <v>3.87</v>
      </c>
      <c r="F31" s="16">
        <f>VLOOKUP($A31,[1]Data!$A$2:$L$873,3)</f>
      </c>
      <c r="G31" s="16">
        <f>VLOOKUP($A31,[1]Data!$A$2:$L$873,4)</f>
      </c>
      <c r="H31" s="16">
        <f>VLOOKUP($A31,[1]Data!$A$2:$L$873,5)</f>
      </c>
      <c r="I31" s="16">
        <f>VLOOKUP($A31,[1]Data!$A$2:$L$873,6)</f>
      </c>
      <c r="J31" s="16">
        <f>VLOOKUP($A31,[1]Data!$A$2:$L$873,7)</f>
      </c>
      <c r="K31" s="17">
        <v>12.7417</v>
      </c>
      <c r="L31" s="18">
        <v>150091.5</v>
      </c>
    </row>
    <row x14ac:dyDescent="0.25" r="32" customHeight="1" ht="18.75">
      <c r="A32" s="13">
        <v>22828</v>
      </c>
      <c r="B32" s="14">
        <v>20536</v>
      </c>
      <c r="C32" s="15">
        <v>15.865</v>
      </c>
      <c r="D32" s="16">
        <v>2.84</v>
      </c>
      <c r="E32" s="16">
        <v>3.99</v>
      </c>
      <c r="F32" s="16">
        <f>VLOOKUP($A32,[1]Data!$A$2:$L$873,3)</f>
      </c>
      <c r="G32" s="16">
        <f>VLOOKUP($A32,[1]Data!$A$2:$L$873,4)</f>
      </c>
      <c r="H32" s="16">
        <f>VLOOKUP($A32,[1]Data!$A$2:$L$873,5)</f>
      </c>
      <c r="I32" s="16">
        <f>VLOOKUP($A32,[1]Data!$A$2:$L$873,6)</f>
      </c>
      <c r="J32" s="16">
        <f>VLOOKUP($A32,[1]Data!$A$2:$L$873,7)</f>
      </c>
      <c r="K32" s="17">
        <v>12.79796</v>
      </c>
      <c r="L32" s="18">
        <v>152256.8</v>
      </c>
    </row>
    <row x14ac:dyDescent="0.25" r="33" customHeight="1" ht="18.75">
      <c r="A33" s="13">
        <v>22920</v>
      </c>
      <c r="B33" s="14">
        <v>20521</v>
      </c>
      <c r="C33" s="15">
        <v>15.898</v>
      </c>
      <c r="D33" s="16">
        <v>2.81</v>
      </c>
      <c r="E33" s="16">
        <v>3.9</v>
      </c>
      <c r="F33" s="16">
        <f>VLOOKUP($A33,[1]Data!$A$2:$L$873,3)</f>
      </c>
      <c r="G33" s="16">
        <f>VLOOKUP($A33,[1]Data!$A$2:$L$873,4)</f>
      </c>
      <c r="H33" s="16">
        <f>VLOOKUP($A33,[1]Data!$A$2:$L$873,5)</f>
      </c>
      <c r="I33" s="16">
        <f>VLOOKUP($A33,[1]Data!$A$2:$L$873,6)</f>
      </c>
      <c r="J33" s="16">
        <f>VLOOKUP($A33,[1]Data!$A$2:$L$873,7)</f>
      </c>
      <c r="K33" s="17">
        <v>12.82608</v>
      </c>
      <c r="L33" s="18">
        <v>153070</v>
      </c>
    </row>
    <row x14ac:dyDescent="0.25" r="34" customHeight="1" ht="18.75">
      <c r="A34" s="13">
        <v>23012</v>
      </c>
      <c r="B34" s="14">
        <v>20677</v>
      </c>
      <c r="C34" s="15">
        <v>15.967</v>
      </c>
      <c r="D34" s="16">
        <v>2.91</v>
      </c>
      <c r="E34" s="16">
        <v>3.89</v>
      </c>
      <c r="F34" s="16">
        <f>VLOOKUP($A34,[1]Data!$A$2:$L$873,3)</f>
      </c>
      <c r="G34" s="16">
        <f>VLOOKUP($A34,[1]Data!$A$2:$L$873,4)</f>
      </c>
      <c r="H34" s="16">
        <f>VLOOKUP($A34,[1]Data!$A$2:$L$873,5)</f>
      </c>
      <c r="I34" s="16">
        <f>VLOOKUP($A34,[1]Data!$A$2:$L$873,6)</f>
      </c>
      <c r="J34" s="16">
        <f>VLOOKUP($A34,[1]Data!$A$2:$L$873,7)</f>
      </c>
      <c r="K34" s="17">
        <v>12.84015</v>
      </c>
      <c r="L34" s="18">
        <v>155418</v>
      </c>
    </row>
    <row x14ac:dyDescent="0.25" r="35" customHeight="1" ht="18.75">
      <c r="A35" s="13">
        <v>23102</v>
      </c>
      <c r="B35" s="14">
        <v>20842</v>
      </c>
      <c r="C35" s="15">
        <v>15.995</v>
      </c>
      <c r="D35" s="16">
        <v>2.94</v>
      </c>
      <c r="E35" s="16">
        <v>3.96</v>
      </c>
      <c r="F35" s="16">
        <f>VLOOKUP($A35,[1]Data!$A$2:$L$873,3)</f>
      </c>
      <c r="G35" s="16">
        <f>VLOOKUP($A35,[1]Data!$A$2:$L$873,4)</f>
      </c>
      <c r="H35" s="16">
        <f>VLOOKUP($A35,[1]Data!$A$2:$L$873,5)</f>
      </c>
      <c r="I35" s="16">
        <f>VLOOKUP($A35,[1]Data!$A$2:$L$873,6)</f>
      </c>
      <c r="J35" s="16">
        <f>VLOOKUP($A35,[1]Data!$A$2:$L$873,7)</f>
      </c>
      <c r="K35" s="17">
        <v>12.88234</v>
      </c>
      <c r="L35" s="18">
        <v>157438</v>
      </c>
    </row>
    <row x14ac:dyDescent="0.25" r="36" customHeight="1" ht="18.75">
      <c r="A36" s="13">
        <v>23193</v>
      </c>
      <c r="B36" s="14">
        <v>21219</v>
      </c>
      <c r="C36" s="15">
        <v>16.016</v>
      </c>
      <c r="D36" s="16">
        <v>3.29</v>
      </c>
      <c r="E36" s="16">
        <v>4.03</v>
      </c>
      <c r="F36" s="16">
        <f>VLOOKUP($A36,[1]Data!$A$2:$L$873,3)</f>
      </c>
      <c r="G36" s="16">
        <f>VLOOKUP($A36,[1]Data!$A$2:$L$873,4)</f>
      </c>
      <c r="H36" s="16">
        <f>VLOOKUP($A36,[1]Data!$A$2:$L$873,5)</f>
      </c>
      <c r="I36" s="16">
        <f>VLOOKUP($A36,[1]Data!$A$2:$L$873,6)</f>
      </c>
      <c r="J36" s="16">
        <f>VLOOKUP($A36,[1]Data!$A$2:$L$873,7)</f>
      </c>
      <c r="K36" s="17">
        <v>12.95266</v>
      </c>
      <c r="L36" s="18">
        <v>161111</v>
      </c>
    </row>
    <row x14ac:dyDescent="0.25" r="37" customHeight="1" ht="18.75">
      <c r="A37" s="13">
        <v>23285</v>
      </c>
      <c r="B37" s="14">
        <v>21276</v>
      </c>
      <c r="C37" s="15">
        <v>16.146</v>
      </c>
      <c r="D37" s="16">
        <v>3.5</v>
      </c>
      <c r="E37" s="16">
        <v>4.12</v>
      </c>
      <c r="F37" s="16">
        <f>VLOOKUP($A37,[1]Data!$A$2:$L$873,3)</f>
      </c>
      <c r="G37" s="16">
        <f>VLOOKUP($A37,[1]Data!$A$2:$L$873,4)</f>
      </c>
      <c r="H37" s="16">
        <f>VLOOKUP($A37,[1]Data!$A$2:$L$873,5)</f>
      </c>
      <c r="I37" s="16">
        <f>VLOOKUP($A37,[1]Data!$A$2:$L$873,6)</f>
      </c>
      <c r="J37" s="16">
        <f>VLOOKUP($A37,[1]Data!$A$2:$L$873,7)</f>
      </c>
      <c r="K37" s="17">
        <v>13.00891</v>
      </c>
      <c r="L37" s="18">
        <v>163484.5</v>
      </c>
    </row>
    <row x14ac:dyDescent="0.25" r="38" customHeight="1" ht="18.75">
      <c r="A38" s="13">
        <v>23377</v>
      </c>
      <c r="B38" s="14">
        <v>21657</v>
      </c>
      <c r="C38" s="15">
        <v>16.197</v>
      </c>
      <c r="D38" s="16">
        <v>3.53</v>
      </c>
      <c r="E38" s="16">
        <v>4.18</v>
      </c>
      <c r="F38" s="16">
        <f>VLOOKUP($A38,[1]Data!$A$2:$L$873,3)</f>
      </c>
      <c r="G38" s="16">
        <f>VLOOKUP($A38,[1]Data!$A$2:$L$873,4)</f>
      </c>
      <c r="H38" s="16">
        <f>VLOOKUP($A38,[1]Data!$A$2:$L$873,5)</f>
      </c>
      <c r="I38" s="16">
        <f>VLOOKUP($A38,[1]Data!$A$2:$L$873,6)</f>
      </c>
      <c r="J38" s="16">
        <f>VLOOKUP($A38,[1]Data!$A$2:$L$873,7)</f>
      </c>
      <c r="K38" s="17">
        <v>13.03704</v>
      </c>
      <c r="L38" s="18">
        <v>167455.5</v>
      </c>
    </row>
    <row x14ac:dyDescent="0.25" r="39" customHeight="1" ht="18.75">
      <c r="A39" s="13">
        <v>23468</v>
      </c>
      <c r="B39" s="14">
        <v>21824</v>
      </c>
      <c r="C39" s="15">
        <v>16.234</v>
      </c>
      <c r="D39" s="16">
        <v>3.48</v>
      </c>
      <c r="E39" s="16">
        <v>4.2</v>
      </c>
      <c r="F39" s="16">
        <f>VLOOKUP($A39,[1]Data!$A$2:$L$873,3)</f>
      </c>
      <c r="G39" s="16">
        <f>VLOOKUP($A39,[1]Data!$A$2:$L$873,4)</f>
      </c>
      <c r="H39" s="16">
        <f>VLOOKUP($A39,[1]Data!$A$2:$L$873,5)</f>
      </c>
      <c r="I39" s="16">
        <f>VLOOKUP($A39,[1]Data!$A$2:$L$873,6)</f>
      </c>
      <c r="J39" s="16">
        <f>VLOOKUP($A39,[1]Data!$A$2:$L$873,7)</f>
      </c>
      <c r="K39" s="17">
        <v>13.0511</v>
      </c>
      <c r="L39" s="18">
        <v>169668.5</v>
      </c>
    </row>
    <row x14ac:dyDescent="0.25" r="40" customHeight="1" ht="18.75">
      <c r="A40" s="13">
        <v>23559</v>
      </c>
      <c r="B40" s="14">
        <v>22085</v>
      </c>
      <c r="C40" s="15">
        <v>16.299</v>
      </c>
      <c r="D40" s="16">
        <v>3.5</v>
      </c>
      <c r="E40" s="16">
        <v>4.19</v>
      </c>
      <c r="F40" s="16">
        <f>VLOOKUP($A40,[1]Data!$A$2:$L$873,3)</f>
      </c>
      <c r="G40" s="14">
        <f>VLOOKUP($A40,[1]Data!$A$2:$L$873,4)</f>
      </c>
      <c r="H40" s="16">
        <f>VLOOKUP($A40,[1]Data!$A$2:$L$873,5)</f>
      </c>
      <c r="I40" s="16">
        <f>VLOOKUP($A40,[1]Data!$A$2:$L$873,6)</f>
      </c>
      <c r="J40" s="16">
        <f>VLOOKUP($A40,[1]Data!$A$2:$L$873,7)</f>
      </c>
      <c r="K40" s="17">
        <v>13.10736</v>
      </c>
      <c r="L40" s="18">
        <v>173007.8</v>
      </c>
    </row>
    <row x14ac:dyDescent="0.25" r="41" customHeight="1" ht="18.75">
      <c r="A41" s="13">
        <v>23651</v>
      </c>
      <c r="B41" s="14">
        <v>22075</v>
      </c>
      <c r="C41" s="15">
        <v>16.373</v>
      </c>
      <c r="D41" s="16">
        <v>3.68</v>
      </c>
      <c r="E41" s="16">
        <v>4.17</v>
      </c>
      <c r="F41" s="16">
        <f>VLOOKUP($A41,[1]Data!$A$2:$L$873,3)</f>
      </c>
      <c r="G41" s="16">
        <f>VLOOKUP($A41,[1]Data!$A$2:$L$873,4)</f>
      </c>
      <c r="H41" s="16">
        <f>VLOOKUP($A41,[1]Data!$A$2:$L$873,5)</f>
      </c>
      <c r="I41" s="16">
        <f>VLOOKUP($A41,[1]Data!$A$2:$L$873,6)</f>
      </c>
      <c r="J41" s="16">
        <f>VLOOKUP($A41,[1]Data!$A$2:$L$873,7)</f>
      </c>
      <c r="K41" s="17">
        <v>13.14955</v>
      </c>
      <c r="L41" s="18">
        <v>174329.8</v>
      </c>
    </row>
    <row x14ac:dyDescent="0.25" r="42" customHeight="1" ht="18.75">
      <c r="A42" s="13">
        <v>23743</v>
      </c>
      <c r="B42" s="14">
        <v>22547</v>
      </c>
      <c r="C42" s="15">
        <v>16.455</v>
      </c>
      <c r="D42" s="16">
        <v>3.89</v>
      </c>
      <c r="E42" s="16">
        <v>4.2</v>
      </c>
      <c r="F42" s="16">
        <f>VLOOKUP($A42,[1]Data!$A$2:$L$873,3)</f>
      </c>
      <c r="G42" s="16">
        <f>VLOOKUP($A42,[1]Data!$A$2:$L$873,4)</f>
      </c>
      <c r="H42" s="16">
        <f>VLOOKUP($A42,[1]Data!$A$2:$L$873,5)</f>
      </c>
      <c r="I42" s="16">
        <f>VLOOKUP($A42,[1]Data!$A$2:$L$873,6)</f>
      </c>
      <c r="J42" s="16">
        <f>VLOOKUP($A42,[1]Data!$A$2:$L$873,7)</f>
      </c>
      <c r="K42" s="17">
        <v>13.17768</v>
      </c>
      <c r="L42" s="18">
        <v>179447.5</v>
      </c>
    </row>
    <row x14ac:dyDescent="0.25" r="43" customHeight="1" ht="18.75">
      <c r="A43" s="13">
        <v>23833</v>
      </c>
      <c r="B43" s="14">
        <v>22770</v>
      </c>
      <c r="C43" s="15">
        <v>16.531</v>
      </c>
      <c r="D43" s="16">
        <v>3.87</v>
      </c>
      <c r="E43" s="16">
        <v>4.21</v>
      </c>
      <c r="F43" s="16">
        <f>VLOOKUP($A43,[1]Data!$A$2:$L$873,3)</f>
      </c>
      <c r="G43" s="16">
        <f>VLOOKUP($A43,[1]Data!$A$2:$L$873,4)</f>
      </c>
      <c r="H43" s="16">
        <f>VLOOKUP($A43,[1]Data!$A$2:$L$873,5)</f>
      </c>
      <c r="I43" s="16">
        <f>VLOOKUP($A43,[1]Data!$A$2:$L$873,6)</f>
      </c>
      <c r="J43" s="16">
        <f>VLOOKUP($A43,[1]Data!$A$2:$L$873,7)</f>
      </c>
      <c r="K43" s="17">
        <v>13.27612</v>
      </c>
      <c r="L43" s="18">
        <v>182547.8</v>
      </c>
    </row>
    <row x14ac:dyDescent="0.25" r="44" customHeight="1" ht="18.75">
      <c r="A44" s="13">
        <v>23924</v>
      </c>
      <c r="B44" s="14">
        <v>23198</v>
      </c>
      <c r="C44" s="15">
        <v>16.595</v>
      </c>
      <c r="D44" s="16">
        <v>3.87</v>
      </c>
      <c r="E44" s="16">
        <v>4.25</v>
      </c>
      <c r="F44" s="16">
        <f>VLOOKUP($A44,[1]Data!$A$2:$L$873,3)</f>
      </c>
      <c r="G44" s="16">
        <f>VLOOKUP($A44,[1]Data!$A$2:$L$873,4)</f>
      </c>
      <c r="H44" s="16">
        <f>VLOOKUP($A44,[1]Data!$A$2:$L$873,5)</f>
      </c>
      <c r="I44" s="16">
        <f>VLOOKUP($A44,[1]Data!$A$2:$L$873,6)</f>
      </c>
      <c r="J44" s="16">
        <f>VLOOKUP($A44,[1]Data!$A$2:$L$873,7)</f>
      </c>
      <c r="K44" s="17">
        <v>13.33238</v>
      </c>
      <c r="L44" s="18">
        <v>187330.8</v>
      </c>
    </row>
    <row x14ac:dyDescent="0.25" r="45" customHeight="1" ht="18.75">
      <c r="A45" s="13">
        <v>24016</v>
      </c>
      <c r="B45" s="14">
        <v>23656</v>
      </c>
      <c r="C45" s="15">
        <v>16.709</v>
      </c>
      <c r="D45" s="16">
        <v>4.17</v>
      </c>
      <c r="E45" s="16">
        <v>4.47</v>
      </c>
      <c r="F45" s="16">
        <f>VLOOKUP($A45,[1]Data!$A$2:$L$873,3)</f>
      </c>
      <c r="G45" s="16">
        <f>VLOOKUP($A45,[1]Data!$A$2:$L$873,4)</f>
      </c>
      <c r="H45" s="16">
        <f>VLOOKUP($A45,[1]Data!$A$2:$L$873,5)</f>
      </c>
      <c r="I45" s="16">
        <f>VLOOKUP($A45,[1]Data!$A$2:$L$873,6)</f>
      </c>
      <c r="J45" s="16">
        <f>VLOOKUP($A45,[1]Data!$A$2:$L$873,7)</f>
      </c>
      <c r="K45" s="17">
        <v>13.38863</v>
      </c>
      <c r="L45" s="18">
        <v>192964.3</v>
      </c>
    </row>
    <row x14ac:dyDescent="0.25" r="46" customHeight="1" ht="18.75">
      <c r="A46" s="13">
        <v>24108</v>
      </c>
      <c r="B46" s="14">
        <v>24172</v>
      </c>
      <c r="C46" s="15">
        <v>16.816</v>
      </c>
      <c r="D46" s="16">
        <v>4.61</v>
      </c>
      <c r="E46" s="16">
        <v>4.77</v>
      </c>
      <c r="F46" s="16">
        <f>VLOOKUP($A46,[1]Data!$A$2:$L$873,3)</f>
      </c>
      <c r="G46" s="16">
        <f>VLOOKUP($A46,[1]Data!$A$2:$L$873,4)</f>
      </c>
      <c r="H46" s="16">
        <f>VLOOKUP($A46,[1]Data!$A$2:$L$873,5)</f>
      </c>
      <c r="I46" s="16">
        <f>VLOOKUP($A46,[1]Data!$A$2:$L$873,6)</f>
      </c>
      <c r="J46" s="16">
        <f>VLOOKUP($A46,[1]Data!$A$2:$L$873,7)</f>
      </c>
      <c r="K46" s="17">
        <v>13.48708</v>
      </c>
      <c r="L46" s="18">
        <v>198933.5</v>
      </c>
    </row>
    <row x14ac:dyDescent="0.25" r="47" customHeight="1" ht="18.75">
      <c r="A47" s="13">
        <v>24198</v>
      </c>
      <c r="B47" s="14">
        <v>24191</v>
      </c>
      <c r="C47" s="15">
        <v>16.954</v>
      </c>
      <c r="D47" s="16">
        <v>4.59</v>
      </c>
      <c r="E47" s="16">
        <v>4.78</v>
      </c>
      <c r="F47" s="16">
        <f>VLOOKUP($A47,[1]Data!$A$2:$L$873,3)</f>
      </c>
      <c r="G47" s="16">
        <f>VLOOKUP($A47,[1]Data!$A$2:$L$873,4)</f>
      </c>
      <c r="H47" s="16">
        <f>VLOOKUP($A47,[1]Data!$A$2:$L$873,5)</f>
      </c>
      <c r="I47" s="16">
        <f>VLOOKUP($A47,[1]Data!$A$2:$L$873,6)</f>
      </c>
      <c r="J47" s="16">
        <f>VLOOKUP($A47,[1]Data!$A$2:$L$873,7)</f>
      </c>
      <c r="K47" s="17">
        <v>13.64178</v>
      </c>
      <c r="L47" s="18">
        <v>201245.3</v>
      </c>
    </row>
    <row x14ac:dyDescent="0.25" r="48" customHeight="1" ht="18.75">
      <c r="A48" s="13">
        <v>24289</v>
      </c>
      <c r="B48" s="14">
        <v>24321</v>
      </c>
      <c r="C48" s="15">
        <v>17.118</v>
      </c>
      <c r="D48" s="16">
        <v>5.04</v>
      </c>
      <c r="E48" s="16">
        <v>5.14</v>
      </c>
      <c r="F48" s="16">
        <f>VLOOKUP($A48,[1]Data!$A$2:$L$873,3)</f>
      </c>
      <c r="G48" s="16">
        <f>VLOOKUP($A48,[1]Data!$A$2:$L$873,4)</f>
      </c>
      <c r="H48" s="16">
        <f>VLOOKUP($A48,[1]Data!$A$2:$L$873,5)</f>
      </c>
      <c r="I48" s="16">
        <f>VLOOKUP($A48,[1]Data!$A$2:$L$873,6)</f>
      </c>
      <c r="J48" s="16">
        <f>VLOOKUP($A48,[1]Data!$A$2:$L$873,7)</f>
      </c>
      <c r="K48" s="17">
        <v>13.76835</v>
      </c>
      <c r="L48" s="18">
        <v>204909.5</v>
      </c>
    </row>
    <row x14ac:dyDescent="0.25" r="49" customHeight="1" ht="18.75">
      <c r="A49" s="13">
        <v>24381</v>
      </c>
      <c r="B49" s="14">
        <v>24446</v>
      </c>
      <c r="C49" s="15">
        <v>17.261</v>
      </c>
      <c r="D49" s="16">
        <v>5.21</v>
      </c>
      <c r="E49" s="16">
        <v>5</v>
      </c>
      <c r="F49" s="16">
        <f>VLOOKUP($A49,[1]Data!$A$2:$L$873,3)</f>
      </c>
      <c r="G49" s="16">
        <f>VLOOKUP($A49,[1]Data!$A$2:$L$873,4)</f>
      </c>
      <c r="H49" s="16">
        <f>VLOOKUP($A49,[1]Data!$A$2:$L$873,5)</f>
      </c>
      <c r="I49" s="16">
        <f>VLOOKUP($A49,[1]Data!$A$2:$L$873,6)</f>
      </c>
      <c r="J49" s="16">
        <f>VLOOKUP($A49,[1]Data!$A$2:$L$873,7)</f>
      </c>
      <c r="K49" s="17">
        <v>13.88086</v>
      </c>
      <c r="L49" s="18">
        <v>208325.5</v>
      </c>
    </row>
    <row x14ac:dyDescent="0.25" r="50" customHeight="1" ht="18.75">
      <c r="A50" s="13">
        <v>24473</v>
      </c>
      <c r="B50" s="14">
        <v>24602</v>
      </c>
      <c r="C50" s="15">
        <v>17.333</v>
      </c>
      <c r="D50" s="16">
        <v>4.51</v>
      </c>
      <c r="E50" s="16">
        <v>4.58</v>
      </c>
      <c r="F50" s="16">
        <f>VLOOKUP($A50,[1]Data!$A$2:$L$873,3)</f>
      </c>
      <c r="G50" s="16">
        <f>VLOOKUP($A50,[1]Data!$A$2:$L$873,4)</f>
      </c>
      <c r="H50" s="16">
        <f>VLOOKUP($A50,[1]Data!$A$2:$L$873,5)</f>
      </c>
      <c r="I50" s="16">
        <f>VLOOKUP($A50,[1]Data!$A$2:$L$873,6)</f>
      </c>
      <c r="J50" s="16">
        <f>VLOOKUP($A50,[1]Data!$A$2:$L$873,7)</f>
      </c>
      <c r="K50" s="17">
        <v>13.89492</v>
      </c>
      <c r="L50" s="18">
        <v>211042.5</v>
      </c>
    </row>
    <row x14ac:dyDescent="0.25" r="51" customHeight="1" ht="18.75">
      <c r="A51" s="13">
        <v>24563</v>
      </c>
      <c r="B51" s="14">
        <v>24556</v>
      </c>
      <c r="C51" s="15">
        <v>17.421</v>
      </c>
      <c r="D51" s="16">
        <v>3.66</v>
      </c>
      <c r="E51" s="16">
        <v>4.82</v>
      </c>
      <c r="F51" s="16">
        <f>VLOOKUP($A51,[1]Data!$A$2:$L$873,3)</f>
      </c>
      <c r="G51" s="16">
        <f>VLOOKUP($A51,[1]Data!$A$2:$L$873,4)</f>
      </c>
      <c r="H51" s="16">
        <f>VLOOKUP($A51,[1]Data!$A$2:$L$873,5)</f>
      </c>
      <c r="I51" s="16">
        <f>VLOOKUP($A51,[1]Data!$A$2:$L$873,6)</f>
      </c>
      <c r="J51" s="16">
        <f>VLOOKUP($A51,[1]Data!$A$2:$L$873,7)</f>
      </c>
      <c r="K51" s="17">
        <v>14.00743</v>
      </c>
      <c r="L51" s="18">
        <v>212245.8</v>
      </c>
    </row>
    <row x14ac:dyDescent="0.25" r="52" customHeight="1" ht="18.75">
      <c r="A52" s="13">
        <v>24654</v>
      </c>
      <c r="B52" s="14">
        <v>24719</v>
      </c>
      <c r="C52" s="15">
        <v>17.588</v>
      </c>
      <c r="D52" s="16">
        <v>4.3</v>
      </c>
      <c r="E52" s="16">
        <v>5.25</v>
      </c>
      <c r="F52" s="16">
        <f>VLOOKUP($A52,[1]Data!$A$2:$L$873,3)</f>
      </c>
      <c r="G52" s="16">
        <f>VLOOKUP($A52,[1]Data!$A$2:$L$873,4)</f>
      </c>
      <c r="H52" s="16">
        <f>VLOOKUP($A52,[1]Data!$A$2:$L$873,5)</f>
      </c>
      <c r="I52" s="16">
        <f>VLOOKUP($A52,[1]Data!$A$2:$L$873,6)</f>
      </c>
      <c r="J52" s="16">
        <f>VLOOKUP($A52,[1]Data!$A$2:$L$873,7)</f>
      </c>
      <c r="K52" s="17">
        <v>14.13401</v>
      </c>
      <c r="L52" s="18">
        <v>216308.3</v>
      </c>
    </row>
    <row x14ac:dyDescent="0.25" r="53" customHeight="1" ht="18.75">
      <c r="A53" s="13">
        <v>24746</v>
      </c>
      <c r="B53" s="14">
        <v>24836</v>
      </c>
      <c r="C53" s="15">
        <v>17.784</v>
      </c>
      <c r="D53" s="16">
        <v>4.75</v>
      </c>
      <c r="E53" s="16">
        <v>5.64</v>
      </c>
      <c r="F53" s="16">
        <f>VLOOKUP($A53,[1]Data!$A$2:$L$873,3)</f>
      </c>
      <c r="G53" s="16">
        <f>VLOOKUP($A53,[1]Data!$A$2:$L$873,4)</f>
      </c>
      <c r="H53" s="16">
        <f>VLOOKUP($A53,[1]Data!$A$2:$L$873,5)</f>
      </c>
      <c r="I53" s="16">
        <f>VLOOKUP($A53,[1]Data!$A$2:$L$873,6)</f>
      </c>
      <c r="J53" s="16">
        <f>VLOOKUP($A53,[1]Data!$A$2:$L$873,7)</f>
      </c>
      <c r="K53" s="17">
        <v>14.26058</v>
      </c>
      <c r="L53" s="18">
        <v>220359.8</v>
      </c>
    </row>
    <row x14ac:dyDescent="0.25" r="54" customHeight="1" ht="18.75">
      <c r="A54" s="13">
        <v>24838</v>
      </c>
      <c r="B54" s="14">
        <v>25288</v>
      </c>
      <c r="C54" s="15">
        <v>17.981</v>
      </c>
      <c r="D54" s="16">
        <v>5.05</v>
      </c>
      <c r="E54" s="16">
        <v>5.61</v>
      </c>
      <c r="F54" s="16">
        <f>VLOOKUP($A54,[1]Data!$A$2:$L$873,3)</f>
      </c>
      <c r="G54" s="16">
        <f>VLOOKUP($A54,[1]Data!$A$2:$L$873,4)</f>
      </c>
      <c r="H54" s="16">
        <f>VLOOKUP($A54,[1]Data!$A$2:$L$873,5)</f>
      </c>
      <c r="I54" s="16">
        <f>VLOOKUP($A54,[1]Data!$A$2:$L$873,6)</f>
      </c>
      <c r="J54" s="16">
        <f>VLOOKUP($A54,[1]Data!$A$2:$L$873,7)</f>
      </c>
      <c r="K54" s="17">
        <v>14.42935</v>
      </c>
      <c r="L54" s="18">
        <v>227346.8</v>
      </c>
    </row>
    <row x14ac:dyDescent="0.25" r="55" customHeight="1" ht="18.75">
      <c r="A55" s="13">
        <v>24929</v>
      </c>
      <c r="B55" s="14">
        <v>25652</v>
      </c>
      <c r="C55" s="15">
        <v>18.171</v>
      </c>
      <c r="D55" s="16">
        <v>5.52</v>
      </c>
      <c r="E55" s="16">
        <v>5.74</v>
      </c>
      <c r="F55" s="16">
        <f>VLOOKUP($A55,[1]Data!$A$2:$L$873,3)</f>
      </c>
      <c r="G55" s="16">
        <f>VLOOKUP($A55,[1]Data!$A$2:$L$873,4)</f>
      </c>
      <c r="H55" s="16">
        <f>VLOOKUP($A55,[1]Data!$A$2:$L$873,5)</f>
      </c>
      <c r="I55" s="16">
        <f>VLOOKUP($A55,[1]Data!$A$2:$L$873,6)</f>
      </c>
      <c r="J55" s="16">
        <f>VLOOKUP($A55,[1]Data!$A$2:$L$873,7)</f>
      </c>
      <c r="K55" s="17">
        <v>14.56998</v>
      </c>
      <c r="L55" s="18">
        <v>233586</v>
      </c>
    </row>
    <row x14ac:dyDescent="0.25" r="56" customHeight="1" ht="18.75">
      <c r="A56" s="13">
        <v>25020</v>
      </c>
      <c r="B56" s="14">
        <v>25781</v>
      </c>
      <c r="C56" s="15">
        <v>18.349</v>
      </c>
      <c r="D56" s="16">
        <v>5.2</v>
      </c>
      <c r="E56" s="16">
        <v>5.46</v>
      </c>
      <c r="F56" s="16">
        <f>VLOOKUP($A56,[1]Data!$A$2:$L$873,3)</f>
      </c>
      <c r="G56" s="16">
        <f>VLOOKUP($A56,[1]Data!$A$2:$L$873,4)</f>
      </c>
      <c r="H56" s="16">
        <f>VLOOKUP($A56,[1]Data!$A$2:$L$873,5)</f>
      </c>
      <c r="I56" s="16">
        <f>VLOOKUP($A56,[1]Data!$A$2:$L$873,6)</f>
      </c>
      <c r="J56" s="16">
        <f>VLOOKUP($A56,[1]Data!$A$2:$L$873,7)</f>
      </c>
      <c r="K56" s="17">
        <v>14.76687</v>
      </c>
      <c r="L56" s="18">
        <v>237706.3</v>
      </c>
    </row>
    <row x14ac:dyDescent="0.25" r="57" customHeight="1" ht="18.75">
      <c r="A57" s="13">
        <v>25112</v>
      </c>
      <c r="B57" s="14">
        <v>25813</v>
      </c>
      <c r="C57" s="15">
        <v>18.608</v>
      </c>
      <c r="D57" s="16">
        <v>5.59</v>
      </c>
      <c r="E57" s="16">
        <v>5.77</v>
      </c>
      <c r="F57" s="16">
        <f>VLOOKUP($A57,[1]Data!$A$2:$L$873,3)</f>
      </c>
      <c r="G57" s="16">
        <f>VLOOKUP($A57,[1]Data!$A$2:$L$873,4)</f>
      </c>
      <c r="H57" s="16">
        <f>VLOOKUP($A57,[1]Data!$A$2:$L$873,5)</f>
      </c>
      <c r="I57" s="16">
        <f>VLOOKUP($A57,[1]Data!$A$2:$L$873,6)</f>
      </c>
      <c r="J57" s="16">
        <f>VLOOKUP($A57,[1]Data!$A$2:$L$873,7)</f>
      </c>
      <c r="K57" s="17">
        <v>14.93564</v>
      </c>
      <c r="L57" s="18">
        <v>242007.5</v>
      </c>
    </row>
    <row x14ac:dyDescent="0.25" r="58" customHeight="1" ht="18.75">
      <c r="A58" s="13">
        <v>25204</v>
      </c>
      <c r="B58" s="14">
        <v>26162</v>
      </c>
      <c r="C58" s="15">
        <v>18.8</v>
      </c>
      <c r="D58" s="16">
        <v>6.09</v>
      </c>
      <c r="E58" s="16">
        <v>6.18</v>
      </c>
      <c r="F58" s="16">
        <f>VLOOKUP($A58,[1]Data!$A$2:$L$873,3)</f>
      </c>
      <c r="G58" s="16">
        <f>VLOOKUP($A58,[1]Data!$A$2:$L$873,4)</f>
      </c>
      <c r="H58" s="16">
        <f>VLOOKUP($A58,[1]Data!$A$2:$L$873,5)</f>
      </c>
      <c r="I58" s="16">
        <f>VLOOKUP($A58,[1]Data!$A$2:$L$873,6)</f>
      </c>
      <c r="J58" s="16">
        <f>VLOOKUP($A58,[1]Data!$A$2:$L$873,7)</f>
      </c>
      <c r="K58" s="17">
        <v>15.11847</v>
      </c>
      <c r="L58" s="18">
        <v>248334.3</v>
      </c>
    </row>
    <row x14ac:dyDescent="0.25" r="59" customHeight="1" ht="18.75">
      <c r="A59" s="13">
        <v>25294</v>
      </c>
      <c r="B59" s="14">
        <v>26181</v>
      </c>
      <c r="C59" s="15">
        <v>19.039</v>
      </c>
      <c r="D59" s="16">
        <v>6.2</v>
      </c>
      <c r="E59" s="16">
        <v>6.35</v>
      </c>
      <c r="F59" s="16">
        <f>VLOOKUP($A59,[1]Data!$A$2:$L$873,3)</f>
      </c>
      <c r="G59" s="16">
        <f>VLOOKUP($A59,[1]Data!$A$2:$L$873,4)</f>
      </c>
      <c r="H59" s="16">
        <f>VLOOKUP($A59,[1]Data!$A$2:$L$873,5)</f>
      </c>
      <c r="I59" s="16">
        <f>VLOOKUP($A59,[1]Data!$A$2:$L$873,6)</f>
      </c>
      <c r="J59" s="16">
        <f>VLOOKUP($A59,[1]Data!$A$2:$L$873,7)</f>
      </c>
      <c r="K59" s="17">
        <v>15.37161</v>
      </c>
      <c r="L59" s="18">
        <v>252255</v>
      </c>
    </row>
    <row x14ac:dyDescent="0.25" r="60" customHeight="1" ht="18.75">
      <c r="A60" s="13">
        <v>25385</v>
      </c>
      <c r="B60" s="14">
        <v>26281</v>
      </c>
      <c r="C60" s="15">
        <v>19.307</v>
      </c>
      <c r="D60" s="16">
        <v>7.02</v>
      </c>
      <c r="E60" s="16">
        <v>6.86</v>
      </c>
      <c r="F60" s="16">
        <f>VLOOKUP($A60,[1]Data!$A$2:$L$873,3)</f>
      </c>
      <c r="G60" s="16">
        <f>VLOOKUP($A60,[1]Data!$A$2:$L$873,4)</f>
      </c>
      <c r="H60" s="16">
        <f>VLOOKUP($A60,[1]Data!$A$2:$L$873,5)</f>
      </c>
      <c r="I60" s="16">
        <f>VLOOKUP($A60,[1]Data!$A$2:$L$873,6)</f>
      </c>
      <c r="J60" s="16">
        <f>VLOOKUP($A60,[1]Data!$A$2:$L$873,7)</f>
      </c>
      <c r="K60" s="17">
        <v>15.59663</v>
      </c>
      <c r="L60" s="18">
        <v>257489</v>
      </c>
    </row>
    <row x14ac:dyDescent="0.25" r="61" customHeight="1" ht="18.75">
      <c r="A61" s="13">
        <v>25477</v>
      </c>
      <c r="B61" s="14">
        <v>26076</v>
      </c>
      <c r="C61" s="15">
        <v>19.556</v>
      </c>
      <c r="D61" s="16">
        <v>7.35</v>
      </c>
      <c r="E61" s="16">
        <v>7.3</v>
      </c>
      <c r="F61" s="16">
        <f>VLOOKUP($A61,[1]Data!$A$2:$L$873,3)</f>
      </c>
      <c r="G61" s="16">
        <f>VLOOKUP($A61,[1]Data!$A$2:$L$873,4)</f>
      </c>
      <c r="H61" s="16">
        <f>VLOOKUP($A61,[1]Data!$A$2:$L$873,5)</f>
      </c>
      <c r="I61" s="16">
        <f>VLOOKUP($A61,[1]Data!$A$2:$L$873,6)</f>
      </c>
      <c r="J61" s="16">
        <f>VLOOKUP($A61,[1]Data!$A$2:$L$873,7)</f>
      </c>
      <c r="K61" s="17">
        <v>15.82165</v>
      </c>
      <c r="L61" s="18">
        <v>259536.8</v>
      </c>
    </row>
    <row x14ac:dyDescent="0.25" r="62" customHeight="1" ht="18.75">
      <c r="A62" s="13">
        <v>25569</v>
      </c>
      <c r="B62" s="14">
        <v>25973</v>
      </c>
      <c r="C62" s="15">
        <v>19.832</v>
      </c>
      <c r="D62" s="16">
        <v>7.21</v>
      </c>
      <c r="E62" s="16">
        <v>7.37</v>
      </c>
      <c r="F62" s="16">
        <f>VLOOKUP($A62,[1]Data!$A$2:$L$873,3)</f>
      </c>
      <c r="G62" s="16">
        <f>VLOOKUP($A62,[1]Data!$A$2:$L$873,4)</f>
      </c>
      <c r="H62" s="16">
        <f>VLOOKUP($A62,[1]Data!$A$2:$L$873,5)</f>
      </c>
      <c r="I62" s="16">
        <f>VLOOKUP($A62,[1]Data!$A$2:$L$873,6)</f>
      </c>
      <c r="J62" s="16">
        <f>VLOOKUP($A62,[1]Data!$A$2:$L$873,7)</f>
      </c>
      <c r="K62" s="17">
        <v>16.03261</v>
      </c>
      <c r="L62" s="18">
        <v>262800</v>
      </c>
    </row>
    <row x14ac:dyDescent="0.25" r="63" customHeight="1" ht="18.75">
      <c r="A63" s="13">
        <v>25659</v>
      </c>
      <c r="B63" s="14">
        <v>25929</v>
      </c>
      <c r="C63" s="15">
        <v>20.108</v>
      </c>
      <c r="D63" s="16">
        <v>6.68</v>
      </c>
      <c r="E63" s="16">
        <v>7.71</v>
      </c>
      <c r="F63" s="16">
        <f>VLOOKUP($A63,[1]Data!$A$2:$L$873,3)</f>
      </c>
      <c r="G63" s="16">
        <f>VLOOKUP($A63,[1]Data!$A$2:$L$873,4)</f>
      </c>
      <c r="H63" s="16">
        <f>VLOOKUP($A63,[1]Data!$A$2:$L$873,5)</f>
      </c>
      <c r="I63" s="16">
        <f>VLOOKUP($A63,[1]Data!$A$2:$L$873,6)</f>
      </c>
      <c r="J63" s="16">
        <f>VLOOKUP($A63,[1]Data!$A$2:$L$873,7)</f>
      </c>
      <c r="K63" s="17">
        <v>16.29982</v>
      </c>
      <c r="L63" s="18">
        <v>266843.8</v>
      </c>
    </row>
    <row x14ac:dyDescent="0.25" r="64" customHeight="1" ht="18.75">
      <c r="A64" s="13">
        <v>25750</v>
      </c>
      <c r="B64" s="14">
        <v>26079</v>
      </c>
      <c r="C64" s="15">
        <v>20.273</v>
      </c>
      <c r="D64" s="16">
        <v>6.33</v>
      </c>
      <c r="E64" s="16">
        <v>7.46</v>
      </c>
      <c r="F64" s="16">
        <f>VLOOKUP($A64,[1]Data!$A$2:$L$873,3)</f>
      </c>
      <c r="G64" s="16">
        <f>VLOOKUP($A64,[1]Data!$A$2:$L$873,4)</f>
      </c>
      <c r="H64" s="16">
        <f>VLOOKUP($A64,[1]Data!$A$2:$L$873,5)</f>
      </c>
      <c r="I64" s="16">
        <f>VLOOKUP($A64,[1]Data!$A$2:$L$873,6)</f>
      </c>
      <c r="J64" s="16">
        <f>VLOOKUP($A64,[1]Data!$A$2:$L$873,7)</f>
      </c>
      <c r="K64" s="17">
        <v>16.48264</v>
      </c>
      <c r="L64" s="18">
        <v>271514.8</v>
      </c>
    </row>
    <row x14ac:dyDescent="0.25" r="65" customHeight="1" ht="18.75">
      <c r="A65" s="13">
        <v>25842</v>
      </c>
      <c r="B65" s="14">
        <v>25710</v>
      </c>
      <c r="C65" s="15">
        <v>20.541</v>
      </c>
      <c r="D65" s="16">
        <v>5.35</v>
      </c>
      <c r="E65" s="16">
        <v>6.85</v>
      </c>
      <c r="F65" s="16">
        <f>VLOOKUP($A65,[1]Data!$A$2:$L$873,3)</f>
      </c>
      <c r="G65" s="16">
        <f>VLOOKUP($A65,[1]Data!$A$2:$L$873,4)</f>
      </c>
      <c r="H65" s="16">
        <f>VLOOKUP($A65,[1]Data!$A$2:$L$873,5)</f>
      </c>
      <c r="I65" s="16">
        <f>VLOOKUP($A65,[1]Data!$A$2:$L$873,6)</f>
      </c>
      <c r="J65" s="16">
        <f>VLOOKUP($A65,[1]Data!$A$2:$L$873,7)</f>
      </c>
      <c r="K65" s="17">
        <v>16.70766</v>
      </c>
      <c r="L65" s="18">
        <v>272152</v>
      </c>
    </row>
    <row x14ac:dyDescent="0.25" r="66" customHeight="1" ht="18.75">
      <c r="A66" s="13">
        <v>25934</v>
      </c>
      <c r="B66" s="14">
        <v>26328</v>
      </c>
      <c r="C66" s="15">
        <v>20.853</v>
      </c>
      <c r="D66" s="16">
        <v>3.84</v>
      </c>
      <c r="E66" s="16">
        <v>6.02</v>
      </c>
      <c r="F66" s="16">
        <f>VLOOKUP($A66,[1]Data!$A$2:$L$873,3)</f>
      </c>
      <c r="G66" s="16">
        <f>VLOOKUP($A66,[1]Data!$A$2:$L$873,4)</f>
      </c>
      <c r="H66" s="16">
        <f>VLOOKUP($A66,[1]Data!$A$2:$L$873,5)</f>
      </c>
      <c r="I66" s="16">
        <f>VLOOKUP($A66,[1]Data!$A$2:$L$873,6)</f>
      </c>
      <c r="J66" s="16">
        <f>VLOOKUP($A66,[1]Data!$A$2:$L$873,7)</f>
      </c>
      <c r="K66" s="17">
        <v>16.83424</v>
      </c>
      <c r="L66" s="18">
        <v>283789</v>
      </c>
    </row>
    <row x14ac:dyDescent="0.25" r="67" customHeight="1" ht="18.75">
      <c r="A67" s="13">
        <v>26024</v>
      </c>
      <c r="B67" s="14">
        <v>26394</v>
      </c>
      <c r="C67" s="15">
        <v>21.127</v>
      </c>
      <c r="D67" s="16">
        <v>4.25</v>
      </c>
      <c r="E67" s="16">
        <v>6.25</v>
      </c>
      <c r="F67" s="16">
        <f>VLOOKUP($A67,[1]Data!$A$2:$L$873,3)</f>
      </c>
      <c r="G67" s="16">
        <f>VLOOKUP($A67,[1]Data!$A$2:$L$873,4)</f>
      </c>
      <c r="H67" s="16">
        <f>VLOOKUP($A67,[1]Data!$A$2:$L$873,5)</f>
      </c>
      <c r="I67" s="16">
        <f>VLOOKUP($A67,[1]Data!$A$2:$L$873,6)</f>
      </c>
      <c r="J67" s="16">
        <f>VLOOKUP($A67,[1]Data!$A$2:$L$873,7)</f>
      </c>
      <c r="K67" s="17">
        <v>17.01706</v>
      </c>
      <c r="L67" s="18">
        <v>289067.8</v>
      </c>
    </row>
    <row x14ac:dyDescent="0.25" r="68" customHeight="1" ht="18.75">
      <c r="A68" s="13">
        <v>26115</v>
      </c>
      <c r="B68" s="14">
        <v>26529</v>
      </c>
      <c r="C68" s="15">
        <v>21.342</v>
      </c>
      <c r="D68" s="16">
        <v>5.01</v>
      </c>
      <c r="E68" s="16">
        <v>6.48</v>
      </c>
      <c r="F68" s="16">
        <f>VLOOKUP($A68,[1]Data!$A$2:$L$873,3)</f>
      </c>
      <c r="G68" s="16">
        <f>VLOOKUP($A68,[1]Data!$A$2:$L$873,4)</f>
      </c>
      <c r="H68" s="16">
        <f>VLOOKUP($A68,[1]Data!$A$2:$L$873,5)</f>
      </c>
      <c r="I68" s="16">
        <f>VLOOKUP($A68,[1]Data!$A$2:$L$873,6)</f>
      </c>
      <c r="J68" s="16">
        <f>VLOOKUP($A68,[1]Data!$A$2:$L$873,7)</f>
      </c>
      <c r="K68" s="17">
        <v>17.19989</v>
      </c>
      <c r="L68" s="18">
        <v>294418.8</v>
      </c>
    </row>
    <row x14ac:dyDescent="0.25" r="69" customHeight="1" ht="18.75">
      <c r="A69" s="13">
        <v>26207</v>
      </c>
      <c r="B69" s="14">
        <v>26510</v>
      </c>
      <c r="C69" s="15">
        <v>21.52</v>
      </c>
      <c r="D69" s="16">
        <v>4.23</v>
      </c>
      <c r="E69" s="16">
        <v>5.89</v>
      </c>
      <c r="F69" s="16">
        <f>VLOOKUP($A69,[1]Data!$A$2:$L$873,3)</f>
      </c>
      <c r="G69" s="16">
        <f>VLOOKUP($A69,[1]Data!$A$2:$L$873,4)</f>
      </c>
      <c r="H69" s="16">
        <f>VLOOKUP($A69,[1]Data!$A$2:$L$873,5)</f>
      </c>
      <c r="I69" s="16">
        <f>VLOOKUP($A69,[1]Data!$A$2:$L$873,6)</f>
      </c>
      <c r="J69" s="16">
        <f>VLOOKUP($A69,[1]Data!$A$2:$L$873,7)</f>
      </c>
      <c r="K69" s="17">
        <v>17.28427</v>
      </c>
      <c r="L69" s="18">
        <v>297574.3</v>
      </c>
    </row>
    <row x14ac:dyDescent="0.25" r="70" customHeight="1" ht="18.75">
      <c r="A70" s="13">
        <v>26299</v>
      </c>
      <c r="B70" s="14">
        <v>26932</v>
      </c>
      <c r="C70" s="15">
        <v>21.848</v>
      </c>
      <c r="D70" s="16">
        <v>3.44</v>
      </c>
      <c r="E70" s="16">
        <v>6.03</v>
      </c>
      <c r="F70" s="16">
        <f>VLOOKUP($A70,[1]Data!$A$2:$L$873,3)</f>
      </c>
      <c r="G70" s="16">
        <f>VLOOKUP($A70,[1]Data!$A$2:$L$873,4)</f>
      </c>
      <c r="H70" s="16">
        <f>VLOOKUP($A70,[1]Data!$A$2:$L$873,5)</f>
      </c>
      <c r="I70" s="16">
        <f>VLOOKUP($A70,[1]Data!$A$2:$L$873,6)</f>
      </c>
      <c r="J70" s="16">
        <f>VLOOKUP($A70,[1]Data!$A$2:$L$873,7)</f>
      </c>
      <c r="K70" s="17">
        <v>17.41085</v>
      </c>
      <c r="L70" s="18">
        <v>307652.3</v>
      </c>
    </row>
    <row x14ac:dyDescent="0.25" r="71" customHeight="1" ht="18.75">
      <c r="A71" s="13">
        <v>26390</v>
      </c>
      <c r="B71" s="14">
        <v>27478</v>
      </c>
      <c r="C71" s="15">
        <v>21.984</v>
      </c>
      <c r="D71" s="16">
        <v>3.77</v>
      </c>
      <c r="E71" s="16">
        <v>6.14</v>
      </c>
      <c r="F71" s="16">
        <f>VLOOKUP($A71,[1]Data!$A$2:$L$873,3)</f>
      </c>
      <c r="G71" s="16">
        <f>VLOOKUP($A71,[1]Data!$A$2:$L$873,4)</f>
      </c>
      <c r="H71" s="16">
        <f>VLOOKUP($A71,[1]Data!$A$2:$L$873,5)</f>
      </c>
      <c r="I71" s="16">
        <f>VLOOKUP($A71,[1]Data!$A$2:$L$873,6)</f>
      </c>
      <c r="J71" s="16">
        <f>VLOOKUP($A71,[1]Data!$A$2:$L$873,7)</f>
      </c>
      <c r="K71" s="17">
        <v>17.55148</v>
      </c>
      <c r="L71" s="18">
        <v>316592.3</v>
      </c>
    </row>
    <row x14ac:dyDescent="0.25" r="72" customHeight="1" ht="18.75">
      <c r="A72" s="13">
        <v>26481</v>
      </c>
      <c r="B72" s="14">
        <v>27666</v>
      </c>
      <c r="C72" s="15">
        <v>22.194</v>
      </c>
      <c r="D72" s="16">
        <v>4.22</v>
      </c>
      <c r="E72" s="16">
        <v>6.29</v>
      </c>
      <c r="F72" s="16">
        <f>VLOOKUP($A72,[1]Data!$A$2:$L$873,3)</f>
      </c>
      <c r="G72" s="14">
        <f>VLOOKUP($A72,[1]Data!$A$2:$L$873,4)</f>
      </c>
      <c r="H72" s="16">
        <f>VLOOKUP($A72,[1]Data!$A$2:$L$873,5)</f>
      </c>
      <c r="I72" s="16">
        <f>VLOOKUP($A72,[1]Data!$A$2:$L$873,6)</f>
      </c>
      <c r="J72" s="16">
        <f>VLOOKUP($A72,[1]Data!$A$2:$L$873,7)</f>
      </c>
      <c r="K72" s="17">
        <v>17.72025</v>
      </c>
      <c r="L72" s="18">
        <v>322641.5</v>
      </c>
    </row>
    <row x14ac:dyDescent="0.25" r="73" customHeight="1" ht="18.75">
      <c r="A73" s="13">
        <v>26573</v>
      </c>
      <c r="B73" s="14">
        <v>28055</v>
      </c>
      <c r="C73" s="15">
        <v>22.477</v>
      </c>
      <c r="D73" s="16">
        <v>4.86</v>
      </c>
      <c r="E73" s="16">
        <v>6.37</v>
      </c>
      <c r="F73" s="16">
        <f>VLOOKUP($A73,[1]Data!$A$2:$L$873,3)</f>
      </c>
      <c r="G73" s="16">
        <f>VLOOKUP($A73,[1]Data!$A$2:$L$873,4)</f>
      </c>
      <c r="H73" s="16">
        <f>VLOOKUP($A73,[1]Data!$A$2:$L$873,5)</f>
      </c>
      <c r="I73" s="16">
        <f>VLOOKUP($A73,[1]Data!$A$2:$L$873,6)</f>
      </c>
      <c r="J73" s="16">
        <f>VLOOKUP($A73,[1]Data!$A$2:$L$873,7)</f>
      </c>
      <c r="K73" s="17">
        <v>17.88901</v>
      </c>
      <c r="L73" s="18">
        <v>332226</v>
      </c>
    </row>
    <row x14ac:dyDescent="0.25" r="74" customHeight="1" ht="18.75">
      <c r="A74" s="13">
        <v>26665</v>
      </c>
      <c r="B74" s="14">
        <v>28687</v>
      </c>
      <c r="C74" s="15">
        <v>22.736</v>
      </c>
      <c r="D74" s="16">
        <v>5.7</v>
      </c>
      <c r="E74" s="16">
        <v>6.6</v>
      </c>
      <c r="F74" s="16">
        <f>VLOOKUP($A74,[1]Data!$A$2:$L$873,3)</f>
      </c>
      <c r="G74" s="16">
        <f>VLOOKUP($A74,[1]Data!$A$2:$L$873,4)</f>
      </c>
      <c r="H74" s="16">
        <f>VLOOKUP($A74,[1]Data!$A$2:$L$873,5)</f>
      </c>
      <c r="I74" s="16">
        <f>VLOOKUP($A74,[1]Data!$A$2:$L$873,6)</f>
      </c>
      <c r="J74" s="16">
        <f>VLOOKUP($A74,[1]Data!$A$2:$L$873,7)</f>
      </c>
      <c r="K74" s="17">
        <v>18.11403</v>
      </c>
      <c r="L74" s="18">
        <v>344372.5</v>
      </c>
    </row>
    <row x14ac:dyDescent="0.25" r="75" customHeight="1" ht="18.75">
      <c r="A75" s="13">
        <v>26755</v>
      </c>
      <c r="B75" s="14">
        <v>28935</v>
      </c>
      <c r="C75" s="15">
        <v>23.086</v>
      </c>
      <c r="D75" s="16">
        <v>6.6</v>
      </c>
      <c r="E75" s="16">
        <v>6.81</v>
      </c>
      <c r="F75" s="16">
        <f>VLOOKUP($A75,[1]Data!$A$2:$L$873,3)</f>
      </c>
      <c r="G75" s="16">
        <f>VLOOKUP($A75,[1]Data!$A$2:$L$873,4)</f>
      </c>
      <c r="H75" s="16">
        <f>VLOOKUP($A75,[1]Data!$A$2:$L$873,5)</f>
      </c>
      <c r="I75" s="16">
        <f>VLOOKUP($A75,[1]Data!$A$2:$L$873,6)</f>
      </c>
      <c r="J75" s="16">
        <f>VLOOKUP($A75,[1]Data!$A$2:$L$873,7)</f>
      </c>
      <c r="K75" s="17">
        <v>18.52188</v>
      </c>
      <c r="L75" s="18">
        <v>353471.8</v>
      </c>
    </row>
    <row x14ac:dyDescent="0.25" r="76" customHeight="1" ht="18.75">
      <c r="A76" s="13">
        <v>26846</v>
      </c>
      <c r="B76" s="14">
        <v>28711</v>
      </c>
      <c r="C76" s="15">
        <v>23.535</v>
      </c>
      <c r="D76" s="16">
        <v>8.32</v>
      </c>
      <c r="E76" s="16">
        <v>7.21</v>
      </c>
      <c r="F76" s="16">
        <f>VLOOKUP($A76,[1]Data!$A$2:$L$873,3)</f>
      </c>
      <c r="G76" s="16">
        <f>VLOOKUP($A76,[1]Data!$A$2:$L$873,4)</f>
      </c>
      <c r="H76" s="16">
        <f>VLOOKUP($A76,[1]Data!$A$2:$L$873,5)</f>
      </c>
      <c r="I76" s="16">
        <f>VLOOKUP($A76,[1]Data!$A$2:$L$873,6)</f>
      </c>
      <c r="J76" s="16">
        <f>VLOOKUP($A76,[1]Data!$A$2:$L$873,7)</f>
      </c>
      <c r="K76" s="17">
        <v>18.92973</v>
      </c>
      <c r="L76" s="18">
        <v>358459.5</v>
      </c>
    </row>
    <row x14ac:dyDescent="0.25" r="77" customHeight="1" ht="18.75">
      <c r="A77" s="13">
        <v>26938</v>
      </c>
      <c r="B77" s="14">
        <v>28913</v>
      </c>
      <c r="C77" s="15">
        <v>24.004</v>
      </c>
      <c r="D77" s="16">
        <v>7.5</v>
      </c>
      <c r="E77" s="16">
        <v>6.75</v>
      </c>
      <c r="F77" s="16">
        <f>VLOOKUP($A77,[1]Data!$A$2:$L$873,3)</f>
      </c>
      <c r="G77" s="14">
        <f>VLOOKUP($A77,[1]Data!$A$2:$L$873,4)</f>
      </c>
      <c r="H77" s="16">
        <f>VLOOKUP($A77,[1]Data!$A$2:$L$873,5)</f>
      </c>
      <c r="I77" s="16">
        <f>VLOOKUP($A77,[1]Data!$A$2:$L$873,6)</f>
      </c>
      <c r="J77" s="16">
        <f>VLOOKUP($A77,[1]Data!$A$2:$L$873,7)</f>
      </c>
      <c r="K77" s="17">
        <v>19.3657</v>
      </c>
      <c r="L77" s="18">
        <v>369072.3</v>
      </c>
    </row>
    <row x14ac:dyDescent="0.25" r="78" customHeight="1" ht="18.75">
      <c r="A78" s="13">
        <v>27030</v>
      </c>
      <c r="B78" s="14">
        <v>28606</v>
      </c>
      <c r="C78" s="15">
        <v>24.457</v>
      </c>
      <c r="D78" s="16">
        <v>7.62</v>
      </c>
      <c r="E78" s="16">
        <v>7.05</v>
      </c>
      <c r="F78" s="16">
        <f>VLOOKUP($A78,[1]Data!$A$2:$L$873,3)</f>
      </c>
      <c r="G78" s="16">
        <f>VLOOKUP($A78,[1]Data!$A$2:$L$873,4)</f>
      </c>
      <c r="H78" s="16">
        <f>VLOOKUP($A78,[1]Data!$A$2:$L$873,5)</f>
      </c>
      <c r="I78" s="16">
        <f>VLOOKUP($A78,[1]Data!$A$2:$L$873,6)</f>
      </c>
      <c r="J78" s="16">
        <f>VLOOKUP($A78,[1]Data!$A$2:$L$873,7)</f>
      </c>
      <c r="K78" s="17">
        <v>19.91418</v>
      </c>
      <c r="L78" s="18">
        <v>372802.3</v>
      </c>
    </row>
    <row x14ac:dyDescent="0.25" r="79" customHeight="1" ht="18.75">
      <c r="A79" s="13">
        <v>27120</v>
      </c>
      <c r="B79" s="14">
        <v>28613</v>
      </c>
      <c r="C79" s="15">
        <v>25.035</v>
      </c>
      <c r="D79" s="16">
        <v>8.15</v>
      </c>
      <c r="E79" s="16">
        <v>7.54</v>
      </c>
      <c r="F79" s="16">
        <f>VLOOKUP($A79,[1]Data!$A$2:$L$873,3)</f>
      </c>
      <c r="G79" s="16">
        <f>VLOOKUP($A79,[1]Data!$A$2:$L$873,4)</f>
      </c>
      <c r="H79" s="16">
        <f>VLOOKUP($A79,[1]Data!$A$2:$L$873,5)</f>
      </c>
      <c r="I79" s="16">
        <f>VLOOKUP($A79,[1]Data!$A$2:$L$873,6)</f>
      </c>
      <c r="J79" s="16">
        <f>VLOOKUP($A79,[1]Data!$A$2:$L$873,7)</f>
      </c>
      <c r="K79" s="17">
        <v>20.47673</v>
      </c>
      <c r="L79" s="18">
        <v>382514</v>
      </c>
    </row>
    <row x14ac:dyDescent="0.25" r="80" customHeight="1" ht="18.75">
      <c r="A80" s="13">
        <v>27211</v>
      </c>
      <c r="B80" s="14">
        <v>28270</v>
      </c>
      <c r="C80" s="15">
        <v>25.769</v>
      </c>
      <c r="D80" s="16">
        <v>8.19</v>
      </c>
      <c r="E80" s="16">
        <v>7.96</v>
      </c>
      <c r="F80" s="16">
        <f>VLOOKUP($A80,[1]Data!$A$2:$L$873,3)</f>
      </c>
      <c r="G80" s="16">
        <f>VLOOKUP($A80,[1]Data!$A$2:$L$873,4)</f>
      </c>
      <c r="H80" s="16">
        <f>VLOOKUP($A80,[1]Data!$A$2:$L$873,5)</f>
      </c>
      <c r="I80" s="16">
        <f>VLOOKUP($A80,[1]Data!$A$2:$L$873,6)</f>
      </c>
      <c r="J80" s="16">
        <f>VLOOKUP($A80,[1]Data!$A$2:$L$873,7)</f>
      </c>
      <c r="K80" s="17">
        <v>21.09553</v>
      </c>
      <c r="L80" s="18">
        <v>390006.5</v>
      </c>
    </row>
    <row x14ac:dyDescent="0.25" r="81" customHeight="1" ht="18.75">
      <c r="A81" s="13">
        <v>27303</v>
      </c>
      <c r="B81" s="14">
        <v>28088</v>
      </c>
      <c r="C81" s="15">
        <v>26.527</v>
      </c>
      <c r="D81" s="16">
        <v>7.36</v>
      </c>
      <c r="E81" s="16">
        <v>7.67</v>
      </c>
      <c r="F81" s="16">
        <f>VLOOKUP($A81,[1]Data!$A$2:$L$873,3)</f>
      </c>
      <c r="G81" s="16">
        <f>VLOOKUP($A81,[1]Data!$A$2:$L$873,4)</f>
      </c>
      <c r="H81" s="16">
        <f>VLOOKUP($A81,[1]Data!$A$2:$L$873,5)</f>
      </c>
      <c r="I81" s="16">
        <f>VLOOKUP($A81,[1]Data!$A$2:$L$873,6)</f>
      </c>
      <c r="J81" s="16">
        <f>VLOOKUP($A81,[1]Data!$A$2:$L$873,7)</f>
      </c>
      <c r="K81" s="17">
        <v>21.7284</v>
      </c>
      <c r="L81" s="18">
        <v>399919.8</v>
      </c>
    </row>
    <row x14ac:dyDescent="0.25" r="82" customHeight="1" ht="18.75">
      <c r="A82" s="13">
        <v>27395</v>
      </c>
      <c r="B82" s="14">
        <v>27690</v>
      </c>
      <c r="C82" s="15">
        <v>27.13</v>
      </c>
      <c r="D82" s="16">
        <v>5.75</v>
      </c>
      <c r="E82" s="16">
        <v>7.54</v>
      </c>
      <c r="F82" s="16">
        <f>VLOOKUP($A82,[1]Data!$A$2:$L$873,3)</f>
      </c>
      <c r="G82" s="16">
        <f>VLOOKUP($A82,[1]Data!$A$2:$L$873,4)</f>
      </c>
      <c r="H82" s="16">
        <f>VLOOKUP($A82,[1]Data!$A$2:$L$873,5)</f>
      </c>
      <c r="I82" s="16">
        <f>VLOOKUP($A82,[1]Data!$A$2:$L$873,6)</f>
      </c>
      <c r="J82" s="16">
        <f>VLOOKUP($A82,[1]Data!$A$2:$L$873,7)</f>
      </c>
      <c r="K82" s="17">
        <v>22.12218</v>
      </c>
      <c r="L82" s="18">
        <v>404029</v>
      </c>
    </row>
    <row x14ac:dyDescent="0.25" r="83" customHeight="1" ht="18.75">
      <c r="A83" s="13">
        <v>27485</v>
      </c>
      <c r="B83" s="14">
        <v>27821</v>
      </c>
      <c r="C83" s="15">
        <v>27.533</v>
      </c>
      <c r="D83" s="16">
        <v>5.39</v>
      </c>
      <c r="E83" s="16">
        <v>8.05</v>
      </c>
      <c r="F83" s="16">
        <f>VLOOKUP($A83,[1]Data!$A$2:$L$873,3)</f>
      </c>
      <c r="G83" s="16">
        <f>VLOOKUP($A83,[1]Data!$A$2:$L$873,4)</f>
      </c>
      <c r="H83" s="16">
        <f>VLOOKUP($A83,[1]Data!$A$2:$L$873,5)</f>
      </c>
      <c r="I83" s="16">
        <f>VLOOKUP($A83,[1]Data!$A$2:$L$873,6)</f>
      </c>
      <c r="J83" s="16">
        <f>VLOOKUP($A83,[1]Data!$A$2:$L$873,7)</f>
      </c>
      <c r="K83" s="17">
        <v>22.45971</v>
      </c>
      <c r="L83" s="18">
        <v>412963.3</v>
      </c>
    </row>
    <row x14ac:dyDescent="0.25" r="84" customHeight="1" ht="18.75">
      <c r="A84" s="13">
        <v>27576</v>
      </c>
      <c r="B84" s="14">
        <v>28214</v>
      </c>
      <c r="C84" s="15">
        <v>28.019</v>
      </c>
      <c r="D84" s="16">
        <v>6.33</v>
      </c>
      <c r="E84" s="16">
        <v>8.3</v>
      </c>
      <c r="F84" s="16">
        <f>VLOOKUP($A84,[1]Data!$A$2:$L$873,3)</f>
      </c>
      <c r="G84" s="16">
        <f>VLOOKUP($A84,[1]Data!$A$2:$L$873,4)</f>
      </c>
      <c r="H84" s="16">
        <f>VLOOKUP($A84,[1]Data!$A$2:$L$873,5)</f>
      </c>
      <c r="I84" s="16">
        <f>VLOOKUP($A84,[1]Data!$A$2:$L$873,6)</f>
      </c>
      <c r="J84" s="16">
        <f>VLOOKUP($A84,[1]Data!$A$2:$L$873,7)</f>
      </c>
      <c r="K84" s="17">
        <v>22.93788</v>
      </c>
      <c r="L84" s="18">
        <v>427455</v>
      </c>
    </row>
    <row x14ac:dyDescent="0.25" r="85" customHeight="1" ht="18.75">
      <c r="A85" s="13">
        <v>27668</v>
      </c>
      <c r="B85" s="14">
        <v>28520</v>
      </c>
      <c r="C85" s="15">
        <v>28.488</v>
      </c>
      <c r="D85" s="16">
        <v>5.63</v>
      </c>
      <c r="E85" s="16">
        <v>8.06</v>
      </c>
      <c r="F85" s="16">
        <f>VLOOKUP($A85,[1]Data!$A$2:$L$873,3)</f>
      </c>
      <c r="G85" s="16">
        <f>VLOOKUP($A85,[1]Data!$A$2:$L$873,4)</f>
      </c>
      <c r="H85" s="16">
        <f>VLOOKUP($A85,[1]Data!$A$2:$L$873,5)</f>
      </c>
      <c r="I85" s="16">
        <f>VLOOKUP($A85,[1]Data!$A$2:$L$873,6)</f>
      </c>
      <c r="J85" s="16">
        <f>VLOOKUP($A85,[1]Data!$A$2:$L$873,7)</f>
      </c>
      <c r="K85" s="17">
        <v>23.30353</v>
      </c>
      <c r="L85" s="18">
        <v>440457.8</v>
      </c>
    </row>
    <row x14ac:dyDescent="0.25" r="86" customHeight="1" ht="18.75">
      <c r="A86" s="13">
        <v>27760</v>
      </c>
      <c r="B86" s="14">
        <v>29099</v>
      </c>
      <c r="C86" s="15">
        <v>28.789</v>
      </c>
      <c r="D86" s="16">
        <v>4.92</v>
      </c>
      <c r="E86" s="16">
        <v>7.75</v>
      </c>
      <c r="F86" s="16">
        <f>VLOOKUP($A86,[1]Data!$A$2:$L$873,3)</f>
      </c>
      <c r="G86" s="16">
        <f>VLOOKUP($A86,[1]Data!$A$2:$L$873,4)</f>
      </c>
      <c r="H86" s="16">
        <f>VLOOKUP($A86,[1]Data!$A$2:$L$873,5)</f>
      </c>
      <c r="I86" s="16">
        <f>VLOOKUP($A86,[1]Data!$A$2:$L$873,6)</f>
      </c>
      <c r="J86" s="16">
        <f>VLOOKUP($A86,[1]Data!$A$2:$L$873,7)</f>
      </c>
      <c r="K86" s="17">
        <v>23.52855</v>
      </c>
      <c r="L86" s="18">
        <v>455121.8</v>
      </c>
    </row>
    <row x14ac:dyDescent="0.25" r="87" customHeight="1" ht="18.75">
      <c r="A87" s="13">
        <v>27851</v>
      </c>
      <c r="B87" s="14">
        <v>29250</v>
      </c>
      <c r="C87" s="15">
        <v>29.079</v>
      </c>
      <c r="D87" s="16">
        <v>5.16</v>
      </c>
      <c r="E87" s="16">
        <v>7.77</v>
      </c>
      <c r="F87" s="16">
        <f>VLOOKUP($A87,[1]Data!$A$2:$L$873,3)</f>
      </c>
      <c r="G87" s="16">
        <f>VLOOKUP($A87,[1]Data!$A$2:$L$873,4)</f>
      </c>
      <c r="H87" s="16">
        <f>VLOOKUP($A87,[1]Data!$A$2:$L$873,5)</f>
      </c>
      <c r="I87" s="16">
        <f>VLOOKUP($A87,[1]Data!$A$2:$L$873,6)</f>
      </c>
      <c r="J87" s="16">
        <f>VLOOKUP($A87,[1]Data!$A$2:$L$873,7)</f>
      </c>
      <c r="K87" s="17">
        <v>23.82389</v>
      </c>
      <c r="L87" s="18">
        <v>463083</v>
      </c>
    </row>
    <row x14ac:dyDescent="0.25" r="88" customHeight="1" ht="18.75">
      <c r="A88" s="13">
        <v>27942</v>
      </c>
      <c r="B88" s="14">
        <v>29335</v>
      </c>
      <c r="C88" s="15">
        <v>29.455</v>
      </c>
      <c r="D88" s="16">
        <v>5.15</v>
      </c>
      <c r="E88" s="16">
        <v>7.73</v>
      </c>
      <c r="F88" s="16">
        <f>VLOOKUP($A88,[1]Data!$A$2:$L$873,3)</f>
      </c>
      <c r="G88" s="16">
        <f>VLOOKUP($A88,[1]Data!$A$2:$L$873,4)</f>
      </c>
      <c r="H88" s="16">
        <f>VLOOKUP($A88,[1]Data!$A$2:$L$873,5)</f>
      </c>
      <c r="I88" s="16">
        <f>VLOOKUP($A88,[1]Data!$A$2:$L$873,6)</f>
      </c>
      <c r="J88" s="16">
        <f>VLOOKUP($A88,[1]Data!$A$2:$L$873,7)</f>
      </c>
      <c r="K88" s="17">
        <v>24.20361</v>
      </c>
      <c r="L88" s="18">
        <v>471639.5</v>
      </c>
    </row>
    <row x14ac:dyDescent="0.25" r="89" customHeight="1" ht="18.75">
      <c r="A89" s="13">
        <v>28034</v>
      </c>
      <c r="B89" s="14">
        <v>29469</v>
      </c>
      <c r="C89" s="15">
        <v>29.983</v>
      </c>
      <c r="D89" s="16">
        <v>4.67</v>
      </c>
      <c r="E89" s="16">
        <v>7.19</v>
      </c>
      <c r="F89" s="16">
        <f>VLOOKUP($A89,[1]Data!$A$2:$L$873,3)</f>
      </c>
      <c r="G89" s="16">
        <f>VLOOKUP($A89,[1]Data!$A$2:$L$873,4)</f>
      </c>
      <c r="H89" s="16">
        <f>VLOOKUP($A89,[1]Data!$A$2:$L$873,5)</f>
      </c>
      <c r="I89" s="16">
        <f>VLOOKUP($A89,[1]Data!$A$2:$L$873,6)</f>
      </c>
      <c r="J89" s="16">
        <f>VLOOKUP($A89,[1]Data!$A$2:$L$873,7)</f>
      </c>
      <c r="K89" s="17">
        <v>24.48488</v>
      </c>
      <c r="L89" s="18">
        <v>483568.3</v>
      </c>
    </row>
    <row x14ac:dyDescent="0.25" r="90" customHeight="1" ht="18.75">
      <c r="A90" s="13">
        <v>28126</v>
      </c>
      <c r="B90" s="14">
        <v>29749</v>
      </c>
      <c r="C90" s="15">
        <v>30.465</v>
      </c>
      <c r="D90" s="16">
        <v>4.63</v>
      </c>
      <c r="E90" s="16">
        <v>7.35</v>
      </c>
      <c r="F90" s="16">
        <f>VLOOKUP($A90,[1]Data!$A$2:$L$873,3)</f>
      </c>
      <c r="G90" s="14">
        <f>VLOOKUP($A90,[1]Data!$A$2:$L$873,4)</f>
      </c>
      <c r="H90" s="16">
        <f>VLOOKUP($A90,[1]Data!$A$2:$L$873,5)</f>
      </c>
      <c r="I90" s="16">
        <f>VLOOKUP($A90,[1]Data!$A$2:$L$873,6)</f>
      </c>
      <c r="J90" s="16">
        <f>VLOOKUP($A90,[1]Data!$A$2:$L$873,7)</f>
      </c>
      <c r="K90" s="17">
        <v>24.90679</v>
      </c>
      <c r="L90" s="18">
        <v>497162</v>
      </c>
    </row>
    <row x14ac:dyDescent="0.25" r="91" customHeight="1" ht="18.75">
      <c r="A91" s="13">
        <v>28216</v>
      </c>
      <c r="B91" s="14">
        <v>30254</v>
      </c>
      <c r="C91" s="15">
        <v>30.895</v>
      </c>
      <c r="D91" s="16">
        <v>4.84</v>
      </c>
      <c r="E91" s="16">
        <v>7.37</v>
      </c>
      <c r="F91" s="16">
        <f>VLOOKUP($A91,[1]Data!$A$2:$L$873,3)</f>
      </c>
      <c r="G91" s="16">
        <f>VLOOKUP($A91,[1]Data!$A$2:$L$873,4)</f>
      </c>
      <c r="H91" s="16">
        <f>VLOOKUP($A91,[1]Data!$A$2:$L$873,5)</f>
      </c>
      <c r="I91" s="16">
        <f>VLOOKUP($A91,[1]Data!$A$2:$L$873,6)</f>
      </c>
      <c r="J91" s="16">
        <f>VLOOKUP($A91,[1]Data!$A$2:$L$873,7)</f>
      </c>
      <c r="K91" s="17">
        <v>25.45528</v>
      </c>
      <c r="L91" s="18">
        <v>513977.3</v>
      </c>
    </row>
    <row x14ac:dyDescent="0.25" r="92" customHeight="1" ht="18.75">
      <c r="A92" s="13">
        <v>28307</v>
      </c>
      <c r="B92" s="14">
        <v>30713</v>
      </c>
      <c r="C92" s="15">
        <v>31.271</v>
      </c>
      <c r="D92" s="16">
        <v>5.5</v>
      </c>
      <c r="E92" s="16">
        <v>7.36</v>
      </c>
      <c r="F92" s="16">
        <f>VLOOKUP($A92,[1]Data!$A$2:$L$873,3)</f>
      </c>
      <c r="G92" s="16">
        <f>VLOOKUP($A92,[1]Data!$A$2:$L$873,4)</f>
      </c>
      <c r="H92" s="16">
        <f>VLOOKUP($A92,[1]Data!$A$2:$L$873,5)</f>
      </c>
      <c r="I92" s="16">
        <f>VLOOKUP($A92,[1]Data!$A$2:$L$873,6)</f>
      </c>
      <c r="J92" s="16">
        <f>VLOOKUP($A92,[1]Data!$A$2:$L$873,7)</f>
      </c>
      <c r="K92" s="17">
        <v>25.82093</v>
      </c>
      <c r="L92" s="18">
        <v>529618.3</v>
      </c>
    </row>
    <row x14ac:dyDescent="0.25" r="93" customHeight="1" ht="18.75">
      <c r="A93" s="13">
        <v>28399</v>
      </c>
      <c r="B93" s="14">
        <v>30626</v>
      </c>
      <c r="C93" s="15">
        <v>31.947</v>
      </c>
      <c r="D93" s="16">
        <v>6.11</v>
      </c>
      <c r="E93" s="16">
        <v>7.6</v>
      </c>
      <c r="F93" s="16">
        <f>VLOOKUP($A93,[1]Data!$A$2:$L$873,3)</f>
      </c>
      <c r="G93" s="16">
        <f>VLOOKUP($A93,[1]Data!$A$2:$L$873,4)</f>
      </c>
      <c r="H93" s="16">
        <f>VLOOKUP($A93,[1]Data!$A$2:$L$873,5)</f>
      </c>
      <c r="I93" s="16">
        <f>VLOOKUP($A93,[1]Data!$A$2:$L$873,6)</f>
      </c>
      <c r="J93" s="16">
        <f>VLOOKUP($A93,[1]Data!$A$2:$L$873,7)</f>
      </c>
      <c r="K93" s="17">
        <v>26.10221</v>
      </c>
      <c r="L93" s="18">
        <v>541067.5</v>
      </c>
    </row>
    <row x14ac:dyDescent="0.25" r="94" customHeight="1" ht="18.75">
      <c r="A94" s="13">
        <v>28491</v>
      </c>
      <c r="B94" s="14">
        <v>30653</v>
      </c>
      <c r="C94" s="15">
        <v>32.411</v>
      </c>
      <c r="D94" s="16">
        <v>6.39</v>
      </c>
      <c r="E94" s="16">
        <v>8.01</v>
      </c>
      <c r="F94" s="16">
        <f>VLOOKUP($A94,[1]Data!$A$2:$L$873,3)</f>
      </c>
      <c r="G94" s="16">
        <f>VLOOKUP($A94,[1]Data!$A$2:$L$873,4)</f>
      </c>
      <c r="H94" s="16">
        <f>VLOOKUP($A94,[1]Data!$A$2:$L$873,5)</f>
      </c>
      <c r="I94" s="16">
        <f>VLOOKUP($A94,[1]Data!$A$2:$L$873,6)</f>
      </c>
      <c r="J94" s="16">
        <f>VLOOKUP($A94,[1]Data!$A$2:$L$873,7)</f>
      </c>
      <c r="K94" s="17">
        <v>26.55224</v>
      </c>
      <c r="L94" s="18">
        <v>550690</v>
      </c>
    </row>
    <row x14ac:dyDescent="0.25" r="95" customHeight="1" ht="18.75">
      <c r="A95" s="13">
        <v>28581</v>
      </c>
      <c r="B95" s="14">
        <v>31757</v>
      </c>
      <c r="C95" s="15">
        <v>33.031</v>
      </c>
      <c r="D95" s="16">
        <v>6.48</v>
      </c>
      <c r="E95" s="16">
        <v>8.32</v>
      </c>
      <c r="F95" s="16">
        <f>VLOOKUP($A95,[1]Data!$A$2:$L$873,3)</f>
      </c>
      <c r="G95" s="16">
        <f>VLOOKUP($A95,[1]Data!$A$2:$L$873,4)</f>
      </c>
      <c r="H95" s="16">
        <f>VLOOKUP($A95,[1]Data!$A$2:$L$873,5)</f>
      </c>
      <c r="I95" s="16">
        <f>VLOOKUP($A95,[1]Data!$A$2:$L$873,6)</f>
      </c>
      <c r="J95" s="16">
        <f>VLOOKUP($A95,[1]Data!$A$2:$L$873,7)</f>
      </c>
      <c r="K95" s="17">
        <v>27.2273</v>
      </c>
      <c r="L95" s="18">
        <v>582908.3</v>
      </c>
    </row>
    <row x14ac:dyDescent="0.25" r="96" customHeight="1" ht="18.75">
      <c r="A96" s="13">
        <v>28672</v>
      </c>
      <c r="B96" s="14">
        <v>31982</v>
      </c>
      <c r="C96" s="15">
        <v>33.592</v>
      </c>
      <c r="D96" s="16">
        <v>7.31</v>
      </c>
      <c r="E96" s="16">
        <v>8.49</v>
      </c>
      <c r="F96" s="16">
        <f>VLOOKUP($A96,[1]Data!$A$2:$L$873,3)</f>
      </c>
      <c r="G96" s="16">
        <f>VLOOKUP($A96,[1]Data!$A$2:$L$873,4)</f>
      </c>
      <c r="H96" s="16">
        <f>VLOOKUP($A96,[1]Data!$A$2:$L$873,5)</f>
      </c>
      <c r="I96" s="16">
        <f>VLOOKUP($A96,[1]Data!$A$2:$L$873,6)</f>
      </c>
      <c r="J96" s="16">
        <f>VLOOKUP($A96,[1]Data!$A$2:$L$873,7)</f>
      </c>
      <c r="K96" s="17">
        <v>27.87423</v>
      </c>
      <c r="L96" s="18">
        <v>598763.3</v>
      </c>
    </row>
    <row x14ac:dyDescent="0.25" r="97" customHeight="1" ht="18.75">
      <c r="A97" s="13">
        <v>28764</v>
      </c>
      <c r="B97" s="14">
        <v>32318</v>
      </c>
      <c r="C97" s="15">
        <v>34.279</v>
      </c>
      <c r="D97" s="16">
        <v>8.57</v>
      </c>
      <c r="E97" s="16">
        <v>8.82</v>
      </c>
      <c r="F97" s="16">
        <f>VLOOKUP($A97,[1]Data!$A$2:$L$873,3)</f>
      </c>
      <c r="G97" s="16">
        <f>VLOOKUP($A97,[1]Data!$A$2:$L$873,4)</f>
      </c>
      <c r="H97" s="16">
        <f>VLOOKUP($A97,[1]Data!$A$2:$L$873,5)</f>
      </c>
      <c r="I97" s="16">
        <f>VLOOKUP($A97,[1]Data!$A$2:$L$873,6)</f>
      </c>
      <c r="J97" s="16">
        <f>VLOOKUP($A97,[1]Data!$A$2:$L$873,7)</f>
      </c>
      <c r="K97" s="17">
        <v>28.43678</v>
      </c>
      <c r="L97" s="18">
        <v>619237.3</v>
      </c>
    </row>
    <row x14ac:dyDescent="0.25" r="98" customHeight="1" ht="18.75">
      <c r="A98" s="13">
        <v>28856</v>
      </c>
      <c r="B98" s="14">
        <v>32294</v>
      </c>
      <c r="C98" s="15">
        <v>34.904</v>
      </c>
      <c r="D98" s="16">
        <v>9.38</v>
      </c>
      <c r="E98" s="16">
        <v>9.11</v>
      </c>
      <c r="F98" s="16">
        <f>VLOOKUP($A98,[1]Data!$A$2:$L$873,3)</f>
      </c>
      <c r="G98" s="16">
        <f>VLOOKUP($A98,[1]Data!$A$2:$L$873,4)</f>
      </c>
      <c r="H98" s="16">
        <f>VLOOKUP($A98,[1]Data!$A$2:$L$873,5)</f>
      </c>
      <c r="I98" s="16">
        <f>VLOOKUP($A98,[1]Data!$A$2:$L$873,6)</f>
      </c>
      <c r="J98" s="16">
        <f>VLOOKUP($A98,[1]Data!$A$2:$L$873,7)</f>
      </c>
      <c r="K98" s="17">
        <v>29.13996</v>
      </c>
      <c r="L98" s="18">
        <v>631652.5</v>
      </c>
    </row>
    <row x14ac:dyDescent="0.25" r="99" customHeight="1" ht="18.75">
      <c r="A99" s="13">
        <v>28946</v>
      </c>
      <c r="B99" s="14">
        <v>32244</v>
      </c>
      <c r="C99" s="15">
        <v>35.759</v>
      </c>
      <c r="D99" s="16">
        <v>9.38</v>
      </c>
      <c r="E99" s="16">
        <v>9.11</v>
      </c>
      <c r="F99" s="16">
        <f>VLOOKUP($A99,[1]Data!$A$2:$L$873,3)</f>
      </c>
      <c r="G99" s="16">
        <f>VLOOKUP($A99,[1]Data!$A$2:$L$873,4)</f>
      </c>
      <c r="H99" s="16">
        <f>VLOOKUP($A99,[1]Data!$A$2:$L$873,5)</f>
      </c>
      <c r="I99" s="16">
        <f>VLOOKUP($A99,[1]Data!$A$2:$L$873,6)</f>
      </c>
      <c r="J99" s="16">
        <f>VLOOKUP($A99,[1]Data!$A$2:$L$873,7)</f>
      </c>
      <c r="K99" s="17">
        <v>30.15255</v>
      </c>
      <c r="L99" s="18">
        <v>647811.8</v>
      </c>
    </row>
    <row x14ac:dyDescent="0.25" r="100" customHeight="1" ht="18.75">
      <c r="A100" s="13">
        <v>29037</v>
      </c>
      <c r="B100" s="14">
        <v>32386</v>
      </c>
      <c r="C100" s="15">
        <v>36.541</v>
      </c>
      <c r="D100" s="16">
        <v>9.67</v>
      </c>
      <c r="E100" s="16">
        <v>9.1</v>
      </c>
      <c r="F100" s="16">
        <f>VLOOKUP($A100,[1]Data!$A$2:$L$873,3)</f>
      </c>
      <c r="G100" s="16">
        <f>VLOOKUP($A100,[1]Data!$A$2:$L$873,4)</f>
      </c>
      <c r="H100" s="16">
        <f>VLOOKUP($A100,[1]Data!$A$2:$L$873,5)</f>
      </c>
      <c r="I100" s="16">
        <f>VLOOKUP($A100,[1]Data!$A$2:$L$873,6)</f>
      </c>
      <c r="J100" s="16">
        <f>VLOOKUP($A100,[1]Data!$A$2:$L$873,7)</f>
      </c>
      <c r="K100" s="17">
        <v>31.15107</v>
      </c>
      <c r="L100" s="18">
        <v>666891.3</v>
      </c>
    </row>
    <row x14ac:dyDescent="0.25" r="101" customHeight="1" ht="18.75">
      <c r="A101" s="13">
        <v>29129</v>
      </c>
      <c r="B101" s="14">
        <v>32366</v>
      </c>
      <c r="C101" s="15">
        <v>37.219</v>
      </c>
      <c r="D101" s="16">
        <v>11.84</v>
      </c>
      <c r="E101" s="16">
        <v>10.45</v>
      </c>
      <c r="F101" s="16">
        <f>VLOOKUP($A101,[1]Data!$A$2:$L$873,3)</f>
      </c>
      <c r="G101" s="16">
        <f>VLOOKUP($A101,[1]Data!$A$2:$L$873,4)</f>
      </c>
      <c r="H101" s="16">
        <f>VLOOKUP($A101,[1]Data!$A$2:$L$873,5)</f>
      </c>
      <c r="I101" s="16">
        <f>VLOOKUP($A101,[1]Data!$A$2:$L$873,6)</f>
      </c>
      <c r="J101" s="16">
        <f>VLOOKUP($A101,[1]Data!$A$2:$L$873,7)</f>
      </c>
      <c r="K101" s="17">
        <v>32.03708</v>
      </c>
      <c r="L101" s="18">
        <v>680970.8</v>
      </c>
    </row>
    <row x14ac:dyDescent="0.25" r="102" customHeight="1" ht="18.75">
      <c r="A102" s="13">
        <v>29221</v>
      </c>
      <c r="B102" s="14">
        <v>32377</v>
      </c>
      <c r="C102" s="15">
        <v>38.001</v>
      </c>
      <c r="D102" s="16">
        <v>13.35</v>
      </c>
      <c r="E102" s="16">
        <v>11.99</v>
      </c>
      <c r="F102" s="16">
        <f>VLOOKUP($A102,[1]Data!$A$2:$L$873,3)</f>
      </c>
      <c r="G102" s="16">
        <f>VLOOKUP($A102,[1]Data!$A$2:$L$873,4)</f>
      </c>
      <c r="H102" s="16">
        <f>VLOOKUP($A102,[1]Data!$A$2:$L$873,5)</f>
      </c>
      <c r="I102" s="16">
        <f>VLOOKUP($A102,[1]Data!$A$2:$L$873,6)</f>
      </c>
      <c r="J102" s="16">
        <f>VLOOKUP($A102,[1]Data!$A$2:$L$873,7)</f>
      </c>
      <c r="K102" s="17">
        <v>33.30281</v>
      </c>
      <c r="L102" s="18">
        <v>697460.5</v>
      </c>
    </row>
    <row x14ac:dyDescent="0.25" r="103" customHeight="1" ht="18.75">
      <c r="A103" s="13">
        <v>29312</v>
      </c>
      <c r="B103" s="14">
        <v>31621</v>
      </c>
      <c r="C103" s="15">
        <v>38.905</v>
      </c>
      <c r="D103" s="16">
        <v>9.62</v>
      </c>
      <c r="E103" s="16">
        <v>10.48</v>
      </c>
      <c r="F103" s="16">
        <f>VLOOKUP($A103,[1]Data!$A$2:$L$873,3)</f>
      </c>
      <c r="G103" s="16">
        <f>VLOOKUP($A103,[1]Data!$A$2:$L$873,4)</f>
      </c>
      <c r="H103" s="16">
        <f>VLOOKUP($A103,[1]Data!$A$2:$L$873,5)</f>
      </c>
      <c r="I103" s="16">
        <f>VLOOKUP($A103,[1]Data!$A$2:$L$873,6)</f>
      </c>
      <c r="J103" s="16">
        <f>VLOOKUP($A103,[1]Data!$A$2:$L$873,7)</f>
      </c>
      <c r="K103" s="17">
        <v>34.52636</v>
      </c>
      <c r="L103" s="18">
        <v>699338</v>
      </c>
    </row>
    <row x14ac:dyDescent="0.25" r="104" customHeight="1" ht="18.75">
      <c r="A104" s="13">
        <v>29403</v>
      </c>
      <c r="B104" s="14">
        <v>31489</v>
      </c>
      <c r="C104" s="15">
        <v>39.774</v>
      </c>
      <c r="D104" s="16">
        <v>9.15</v>
      </c>
      <c r="E104" s="16">
        <v>10.95</v>
      </c>
      <c r="F104" s="16">
        <f>VLOOKUP($A104,[1]Data!$A$2:$L$873,3)</f>
      </c>
      <c r="G104" s="16">
        <f>VLOOKUP($A104,[1]Data!$A$2:$L$873,4)</f>
      </c>
      <c r="H104" s="16">
        <f>VLOOKUP($A104,[1]Data!$A$2:$L$873,5)</f>
      </c>
      <c r="I104" s="16">
        <f>VLOOKUP($A104,[1]Data!$A$2:$L$873,6)</f>
      </c>
      <c r="J104" s="16">
        <f>VLOOKUP($A104,[1]Data!$A$2:$L$873,7)</f>
      </c>
      <c r="K104" s="17">
        <v>35.15922</v>
      </c>
      <c r="L104" s="18">
        <v>714120.8</v>
      </c>
    </row>
    <row x14ac:dyDescent="0.25" r="105" customHeight="1" ht="18.75">
      <c r="A105" s="13">
        <v>29495</v>
      </c>
      <c r="B105" s="14">
        <v>31990</v>
      </c>
      <c r="C105" s="15">
        <v>40.81</v>
      </c>
      <c r="D105" s="16">
        <v>13.61</v>
      </c>
      <c r="E105" s="16">
        <v>12.42</v>
      </c>
      <c r="F105" s="16">
        <f>VLOOKUP($A105,[1]Data!$A$2:$L$873,3)</f>
      </c>
      <c r="G105" s="16">
        <f>VLOOKUP($A105,[1]Data!$A$2:$L$873,4)</f>
      </c>
      <c r="H105" s="16">
        <f>VLOOKUP($A105,[1]Data!$A$2:$L$873,5)</f>
      </c>
      <c r="I105" s="16">
        <f>VLOOKUP($A105,[1]Data!$A$2:$L$873,6)</f>
      </c>
      <c r="J105" s="16">
        <f>VLOOKUP($A105,[1]Data!$A$2:$L$873,7)</f>
      </c>
      <c r="K105" s="17">
        <v>36.08743</v>
      </c>
      <c r="L105" s="18">
        <v>746389.3</v>
      </c>
    </row>
    <row x14ac:dyDescent="0.25" r="106" customHeight="1" ht="18.75">
      <c r="A106" s="13">
        <v>29587</v>
      </c>
      <c r="B106" s="14">
        <v>32550</v>
      </c>
      <c r="C106" s="15">
        <v>41.885</v>
      </c>
      <c r="D106" s="16">
        <v>14.39</v>
      </c>
      <c r="E106" s="16">
        <v>12.96</v>
      </c>
      <c r="F106" s="16">
        <f>VLOOKUP($A106,[1]Data!$A$2:$L$873,3)</f>
      </c>
      <c r="G106" s="16">
        <f>VLOOKUP($A106,[1]Data!$A$2:$L$873,4)</f>
      </c>
      <c r="H106" s="16">
        <f>VLOOKUP($A106,[1]Data!$A$2:$L$873,5)</f>
      </c>
      <c r="I106" s="16">
        <f>VLOOKUP($A106,[1]Data!$A$2:$L$873,6)</f>
      </c>
      <c r="J106" s="16">
        <f>VLOOKUP($A106,[1]Data!$A$2:$L$873,7)</f>
      </c>
      <c r="K106" s="17">
        <v>37.04375</v>
      </c>
      <c r="L106" s="18">
        <v>781051.5</v>
      </c>
    </row>
    <row x14ac:dyDescent="0.25" r="107" customHeight="1" ht="18.75">
      <c r="A107" s="13">
        <v>29677</v>
      </c>
      <c r="B107" s="14">
        <v>32236</v>
      </c>
      <c r="C107" s="15">
        <v>42.715</v>
      </c>
      <c r="D107" s="16">
        <v>14.91</v>
      </c>
      <c r="E107" s="16">
        <v>13.75</v>
      </c>
      <c r="F107" s="16">
        <f>VLOOKUP($A107,[1]Data!$A$2:$L$873,3)</f>
      </c>
      <c r="G107" s="16">
        <f>VLOOKUP($A107,[1]Data!$A$2:$L$873,4)</f>
      </c>
      <c r="H107" s="16">
        <f>VLOOKUP($A107,[1]Data!$A$2:$L$873,5)</f>
      </c>
      <c r="I107" s="16">
        <f>VLOOKUP($A107,[1]Data!$A$2:$L$873,6)</f>
      </c>
      <c r="J107" s="16">
        <f>VLOOKUP($A107,[1]Data!$A$2:$L$873,7)</f>
      </c>
      <c r="K107" s="17">
        <v>37.90164</v>
      </c>
      <c r="L107" s="18">
        <v>790633</v>
      </c>
    </row>
    <row x14ac:dyDescent="0.25" r="108" customHeight="1" ht="18.75">
      <c r="A108" s="13">
        <v>29768</v>
      </c>
      <c r="B108" s="14">
        <v>32533</v>
      </c>
      <c r="C108" s="15">
        <v>43.519</v>
      </c>
      <c r="D108" s="16">
        <v>15.05</v>
      </c>
      <c r="E108" s="16">
        <v>14.85</v>
      </c>
      <c r="F108" s="16">
        <f>VLOOKUP($A108,[1]Data!$A$2:$L$873,3)</f>
      </c>
      <c r="G108" s="16">
        <f>VLOOKUP($A108,[1]Data!$A$2:$L$873,4)</f>
      </c>
      <c r="H108" s="16">
        <f>VLOOKUP($A108,[1]Data!$A$2:$L$873,5)</f>
      </c>
      <c r="I108" s="16">
        <f>VLOOKUP($A108,[1]Data!$A$2:$L$873,6)</f>
      </c>
      <c r="J108" s="16">
        <f>VLOOKUP($A108,[1]Data!$A$2:$L$873,7)</f>
      </c>
      <c r="K108" s="17">
        <v>38.97048</v>
      </c>
      <c r="L108" s="18">
        <v>815152.3</v>
      </c>
    </row>
    <row x14ac:dyDescent="0.25" r="109" customHeight="1" ht="18.75">
      <c r="A109" s="13">
        <v>29860</v>
      </c>
      <c r="B109" s="14">
        <v>32095</v>
      </c>
      <c r="C109" s="15">
        <v>44.271</v>
      </c>
      <c r="D109" s="16">
        <v>11.75</v>
      </c>
      <c r="E109" s="16">
        <v>14.09</v>
      </c>
      <c r="F109" s="16">
        <f>VLOOKUP($A109,[1]Data!$A$2:$L$873,3)</f>
      </c>
      <c r="G109" s="16">
        <f>VLOOKUP($A109,[1]Data!$A$2:$L$873,4)</f>
      </c>
      <c r="H109" s="16">
        <f>VLOOKUP($A109,[1]Data!$A$2:$L$873,5)</f>
      </c>
      <c r="I109" s="16">
        <f>VLOOKUP($A109,[1]Data!$A$2:$L$873,6)</f>
      </c>
      <c r="J109" s="16">
        <f>VLOOKUP($A109,[1]Data!$A$2:$L$873,7)</f>
      </c>
      <c r="K109" s="17">
        <v>39.53303</v>
      </c>
      <c r="L109" s="18">
        <v>820204.5</v>
      </c>
    </row>
    <row x14ac:dyDescent="0.25" r="110" customHeight="1" ht="18.75">
      <c r="A110" s="13">
        <v>29952</v>
      </c>
      <c r="B110" s="14">
        <v>31529</v>
      </c>
      <c r="C110" s="15">
        <v>44.88</v>
      </c>
      <c r="D110" s="16">
        <v>12.81</v>
      </c>
      <c r="E110" s="16">
        <v>14.29</v>
      </c>
      <c r="F110" s="16">
        <f>VLOOKUP($A110,[1]Data!$A$2:$L$873,3)</f>
      </c>
      <c r="G110" s="16">
        <f>VLOOKUP($A110,[1]Data!$A$2:$L$873,4)</f>
      </c>
      <c r="H110" s="16">
        <f>VLOOKUP($A110,[1]Data!$A$2:$L$873,5)</f>
      </c>
      <c r="I110" s="16">
        <f>VLOOKUP($A110,[1]Data!$A$2:$L$873,6)</f>
      </c>
      <c r="J110" s="16">
        <f>VLOOKUP($A110,[1]Data!$A$2:$L$873,7)</f>
      </c>
      <c r="K110" s="17">
        <v>39.85649</v>
      </c>
      <c r="L110" s="18">
        <v>818575.5</v>
      </c>
    </row>
    <row x14ac:dyDescent="0.25" r="111" customHeight="1" ht="18.75">
      <c r="A111" s="13">
        <v>30042</v>
      </c>
      <c r="B111" s="14">
        <v>31603</v>
      </c>
      <c r="C111" s="15">
        <v>45.463</v>
      </c>
      <c r="D111" s="16">
        <v>12.42</v>
      </c>
      <c r="E111" s="16">
        <v>13.93</v>
      </c>
      <c r="F111" s="16">
        <f>VLOOKUP($A111,[1]Data!$A$2:$L$873,3)</f>
      </c>
      <c r="G111" s="16">
        <f>VLOOKUP($A111,[1]Data!$A$2:$L$873,4)</f>
      </c>
      <c r="H111" s="16">
        <f>VLOOKUP($A111,[1]Data!$A$2:$L$873,5)</f>
      </c>
      <c r="I111" s="16">
        <f>VLOOKUP($A111,[1]Data!$A$2:$L$873,6)</f>
      </c>
      <c r="J111" s="16">
        <f>VLOOKUP($A111,[1]Data!$A$2:$L$873,7)</f>
      </c>
      <c r="K111" s="17">
        <v>40.46123</v>
      </c>
      <c r="L111" s="18">
        <v>832993</v>
      </c>
    </row>
    <row x14ac:dyDescent="0.25" r="112" customHeight="1" ht="18.75">
      <c r="A112" s="13">
        <v>30133</v>
      </c>
      <c r="B112" s="14">
        <v>31402</v>
      </c>
      <c r="C112" s="15">
        <v>46.108</v>
      </c>
      <c r="D112" s="16">
        <v>9.32</v>
      </c>
      <c r="E112" s="16">
        <v>13.12</v>
      </c>
      <c r="F112" s="16">
        <f>VLOOKUP($A112,[1]Data!$A$2:$L$873,3)</f>
      </c>
      <c r="G112" s="16">
        <f>VLOOKUP($A112,[1]Data!$A$2:$L$873,4)</f>
      </c>
      <c r="H112" s="16">
        <f>VLOOKUP($A112,[1]Data!$A$2:$L$873,5)</f>
      </c>
      <c r="I112" s="16">
        <f>VLOOKUP($A112,[1]Data!$A$2:$L$873,6)</f>
      </c>
      <c r="J112" s="16">
        <f>VLOOKUP($A112,[1]Data!$A$2:$L$873,7)</f>
      </c>
      <c r="K112" s="17">
        <v>41.22067</v>
      </c>
      <c r="L112" s="18">
        <v>841580.5</v>
      </c>
    </row>
    <row x14ac:dyDescent="0.25" r="113" customHeight="1" ht="18.75">
      <c r="A113" s="13">
        <v>30225</v>
      </c>
      <c r="B113" s="14">
        <v>31337</v>
      </c>
      <c r="C113" s="15">
        <v>46.586</v>
      </c>
      <c r="D113" s="16">
        <v>7.91</v>
      </c>
      <c r="E113" s="16">
        <v>10.67</v>
      </c>
      <c r="F113" s="16">
        <f>VLOOKUP($A113,[1]Data!$A$2:$L$873,3)</f>
      </c>
      <c r="G113" s="16">
        <f>VLOOKUP($A113,[1]Data!$A$2:$L$873,4)</f>
      </c>
      <c r="H113" s="16">
        <f>VLOOKUP($A113,[1]Data!$A$2:$L$873,5)</f>
      </c>
      <c r="I113" s="16">
        <f>VLOOKUP($A113,[1]Data!$A$2:$L$873,6)</f>
      </c>
      <c r="J113" s="16">
        <f>VLOOKUP($A113,[1]Data!$A$2:$L$873,7)</f>
      </c>
      <c r="K113" s="17">
        <v>41.31912</v>
      </c>
      <c r="L113" s="18">
        <v>850640.3</v>
      </c>
    </row>
    <row x14ac:dyDescent="0.25" r="114" customHeight="1" ht="18.75">
      <c r="A114" s="13">
        <v>30317</v>
      </c>
      <c r="B114" s="14">
        <v>31686</v>
      </c>
      <c r="C114" s="15">
        <v>46.938</v>
      </c>
      <c r="D114" s="16">
        <v>8.11</v>
      </c>
      <c r="E114" s="16">
        <v>10.56</v>
      </c>
      <c r="F114" s="16">
        <f>VLOOKUP($A114,[1]Data!$A$2:$L$873,3)</f>
      </c>
      <c r="G114" s="16">
        <f>VLOOKUP($A114,[1]Data!$A$2:$L$873,4)</f>
      </c>
      <c r="H114" s="16">
        <f>VLOOKUP($A114,[1]Data!$A$2:$L$873,5)</f>
      </c>
      <c r="I114" s="16">
        <f>VLOOKUP($A114,[1]Data!$A$2:$L$873,6)</f>
      </c>
      <c r="J114" s="16">
        <f>VLOOKUP($A114,[1]Data!$A$2:$L$873,7)</f>
      </c>
      <c r="K114" s="17">
        <v>41.29099</v>
      </c>
      <c r="L114" s="18">
        <v>868353.3</v>
      </c>
    </row>
    <row x14ac:dyDescent="0.25" r="115" customHeight="1" ht="18.75">
      <c r="A115" s="13">
        <v>30407</v>
      </c>
      <c r="B115" s="14">
        <v>32340</v>
      </c>
      <c r="C115" s="15">
        <v>47.286</v>
      </c>
      <c r="D115" s="16">
        <v>8.4</v>
      </c>
      <c r="E115" s="16">
        <v>10.54</v>
      </c>
      <c r="F115" s="16">
        <f>VLOOKUP($A115,[1]Data!$A$2:$L$873,3)</f>
      </c>
      <c r="G115" s="16">
        <f>VLOOKUP($A115,[1]Data!$A$2:$L$873,4)</f>
      </c>
      <c r="H115" s="16">
        <f>VLOOKUP($A115,[1]Data!$A$2:$L$873,5)</f>
      </c>
      <c r="I115" s="16">
        <f>VLOOKUP($A115,[1]Data!$A$2:$L$873,6)</f>
      </c>
      <c r="J115" s="16">
        <f>VLOOKUP($A115,[1]Data!$A$2:$L$873,7)</f>
      </c>
      <c r="K115" s="17">
        <v>41.81135</v>
      </c>
      <c r="L115" s="18">
        <v>894712</v>
      </c>
    </row>
    <row x14ac:dyDescent="0.25" r="116" customHeight="1" ht="18.75">
      <c r="A116" s="13">
        <v>30498</v>
      </c>
      <c r="B116" s="14">
        <v>32906</v>
      </c>
      <c r="C116" s="15">
        <v>47.789</v>
      </c>
      <c r="D116" s="16">
        <v>9.14</v>
      </c>
      <c r="E116" s="16">
        <v>11.63</v>
      </c>
      <c r="F116" s="16">
        <f>VLOOKUP($A116,[1]Data!$A$2:$L$873,3)</f>
      </c>
      <c r="G116" s="16">
        <f>VLOOKUP($A116,[1]Data!$A$2:$L$873,4)</f>
      </c>
      <c r="H116" s="16">
        <f>VLOOKUP($A116,[1]Data!$A$2:$L$873,5)</f>
      </c>
      <c r="I116" s="16">
        <f>VLOOKUP($A116,[1]Data!$A$2:$L$873,6)</f>
      </c>
      <c r="J116" s="16">
        <f>VLOOKUP($A116,[1]Data!$A$2:$L$873,7)</f>
      </c>
      <c r="K116" s="17">
        <v>42.30358</v>
      </c>
      <c r="L116" s="18">
        <v>922294.8</v>
      </c>
    </row>
    <row x14ac:dyDescent="0.25" r="117" customHeight="1" ht="18.75">
      <c r="A117" s="13">
        <v>30590</v>
      </c>
      <c r="B117" s="14">
        <v>33513</v>
      </c>
      <c r="C117" s="15">
        <v>48.151</v>
      </c>
      <c r="D117" s="16">
        <v>8.8</v>
      </c>
      <c r="E117" s="16">
        <v>11.69</v>
      </c>
      <c r="F117" s="16">
        <f>VLOOKUP($A117,[1]Data!$A$2:$L$873,3)</f>
      </c>
      <c r="G117" s="16">
        <f>VLOOKUP($A117,[1]Data!$A$2:$L$873,4)</f>
      </c>
      <c r="H117" s="16">
        <f>VLOOKUP($A117,[1]Data!$A$2:$L$873,5)</f>
      </c>
      <c r="I117" s="16">
        <f>VLOOKUP($A117,[1]Data!$A$2:$L$873,6)</f>
      </c>
      <c r="J117" s="16">
        <f>VLOOKUP($A117,[1]Data!$A$2:$L$873,7)</f>
      </c>
      <c r="K117" s="17">
        <v>42.6833</v>
      </c>
      <c r="L117" s="18">
        <v>948676.5</v>
      </c>
    </row>
    <row x14ac:dyDescent="0.25" r="118" customHeight="1" ht="18.75">
      <c r="A118" s="13">
        <v>30682</v>
      </c>
      <c r="B118" s="14">
        <v>34103</v>
      </c>
      <c r="C118" s="15">
        <v>48.639</v>
      </c>
      <c r="D118" s="16">
        <v>9.17</v>
      </c>
      <c r="E118" s="16">
        <v>11.94</v>
      </c>
      <c r="F118" s="16">
        <f>VLOOKUP($A118,[1]Data!$A$2:$L$873,3)</f>
      </c>
      <c r="G118" s="16">
        <f>VLOOKUP($A118,[1]Data!$A$2:$L$873,4)</f>
      </c>
      <c r="H118" s="16">
        <f>VLOOKUP($A118,[1]Data!$A$2:$L$873,5)</f>
      </c>
      <c r="I118" s="16">
        <f>VLOOKUP($A118,[1]Data!$A$2:$L$873,6)</f>
      </c>
      <c r="J118" s="16">
        <f>VLOOKUP($A118,[1]Data!$A$2:$L$873,7)</f>
      </c>
      <c r="K118" s="17">
        <v>43.16146</v>
      </c>
      <c r="L118" s="18">
        <v>977013.5</v>
      </c>
    </row>
    <row x14ac:dyDescent="0.25" r="119" customHeight="1" ht="18.75">
      <c r="A119" s="13">
        <v>30773</v>
      </c>
      <c r="B119" s="14">
        <v>34622</v>
      </c>
      <c r="C119" s="15">
        <v>49.055</v>
      </c>
      <c r="D119" s="16">
        <v>9.8</v>
      </c>
      <c r="E119" s="16">
        <v>13.2</v>
      </c>
      <c r="F119" s="16">
        <f>VLOOKUP($A119,[1]Data!$A$2:$L$873,3)</f>
      </c>
      <c r="G119" s="16">
        <f>VLOOKUP($A119,[1]Data!$A$2:$L$873,4)</f>
      </c>
      <c r="H119" s="16">
        <f>VLOOKUP($A119,[1]Data!$A$2:$L$873,5)</f>
      </c>
      <c r="I119" s="16">
        <f>VLOOKUP($A119,[1]Data!$A$2:$L$873,6)</f>
      </c>
      <c r="J119" s="16">
        <f>VLOOKUP($A119,[1]Data!$A$2:$L$873,7)</f>
      </c>
      <c r="K119" s="17">
        <v>43.62556</v>
      </c>
      <c r="L119" s="18">
        <v>1002400.3</v>
      </c>
    </row>
    <row x14ac:dyDescent="0.25" r="120" customHeight="1" ht="18.75">
      <c r="A120" s="13">
        <v>30864</v>
      </c>
      <c r="B120" s="14">
        <v>34871</v>
      </c>
      <c r="C120" s="15">
        <v>49.491</v>
      </c>
      <c r="D120" s="16">
        <v>10.32</v>
      </c>
      <c r="E120" s="16">
        <v>12.87</v>
      </c>
      <c r="F120" s="16">
        <f>VLOOKUP($A120,[1]Data!$A$2:$L$873,3)</f>
      </c>
      <c r="G120" s="16">
        <f>VLOOKUP($A120,[1]Data!$A$2:$L$873,4)</f>
      </c>
      <c r="H120" s="16">
        <f>VLOOKUP($A120,[1]Data!$A$2:$L$873,5)</f>
      </c>
      <c r="I120" s="16">
        <f>VLOOKUP($A120,[1]Data!$A$2:$L$873,6)</f>
      </c>
      <c r="J120" s="16">
        <f>VLOOKUP($A120,[1]Data!$A$2:$L$873,7)</f>
      </c>
      <c r="K120" s="17">
        <v>44.10373</v>
      </c>
      <c r="L120" s="18">
        <v>1021062.5</v>
      </c>
    </row>
    <row x14ac:dyDescent="0.25" r="121" customHeight="1" ht="18.75">
      <c r="A121" s="13">
        <v>30956</v>
      </c>
      <c r="B121" s="14">
        <v>35072</v>
      </c>
      <c r="C121" s="15">
        <v>49.861</v>
      </c>
      <c r="D121" s="16">
        <v>8.8</v>
      </c>
      <c r="E121" s="16">
        <v>11.74</v>
      </c>
      <c r="F121" s="16">
        <f>VLOOKUP($A121,[1]Data!$A$2:$L$873,3)</f>
      </c>
      <c r="G121" s="16">
        <f>VLOOKUP($A121,[1]Data!$A$2:$L$873,4)</f>
      </c>
      <c r="H121" s="16">
        <f>VLOOKUP($A121,[1]Data!$A$2:$L$873,5)</f>
      </c>
      <c r="I121" s="16">
        <f>VLOOKUP($A121,[1]Data!$A$2:$L$873,6)</f>
      </c>
      <c r="J121" s="16">
        <f>VLOOKUP($A121,[1]Data!$A$2:$L$873,7)</f>
      </c>
      <c r="K121" s="17">
        <v>44.42719</v>
      </c>
      <c r="L121" s="18">
        <v>1037137.8</v>
      </c>
    </row>
    <row x14ac:dyDescent="0.25" r="122" customHeight="1" ht="18.75">
      <c r="A122" s="13">
        <v>31048</v>
      </c>
      <c r="B122" s="14">
        <v>35346</v>
      </c>
      <c r="C122" s="15">
        <v>50.354</v>
      </c>
      <c r="D122" s="16">
        <v>8.18</v>
      </c>
      <c r="E122" s="16">
        <v>11.58</v>
      </c>
      <c r="F122" s="16">
        <f>VLOOKUP($A122,[1]Data!$A$2:$L$873,3)</f>
      </c>
      <c r="G122" s="16">
        <f>VLOOKUP($A122,[1]Data!$A$2:$L$873,4)</f>
      </c>
      <c r="H122" s="16">
        <f>VLOOKUP($A122,[1]Data!$A$2:$L$873,5)</f>
      </c>
      <c r="I122" s="16">
        <f>VLOOKUP($A122,[1]Data!$A$2:$L$873,6)</f>
      </c>
      <c r="J122" s="16">
        <f>VLOOKUP($A122,[1]Data!$A$2:$L$873,7)</f>
      </c>
      <c r="K122" s="17">
        <v>44.70847</v>
      </c>
      <c r="L122" s="18">
        <v>1057542</v>
      </c>
    </row>
    <row x14ac:dyDescent="0.25" r="123" customHeight="1" ht="18.75">
      <c r="A123" s="13">
        <v>31138</v>
      </c>
      <c r="B123" s="14">
        <v>35582</v>
      </c>
      <c r="C123" s="15">
        <v>50.678</v>
      </c>
      <c r="D123" s="16">
        <v>7.46</v>
      </c>
      <c r="E123" s="16">
        <v>10.81</v>
      </c>
      <c r="F123" s="16">
        <f>VLOOKUP($A123,[1]Data!$A$2:$L$873,3)</f>
      </c>
      <c r="G123" s="16">
        <f>VLOOKUP($A123,[1]Data!$A$2:$L$873,4)</f>
      </c>
      <c r="H123" s="16">
        <f>VLOOKUP($A123,[1]Data!$A$2:$L$873,5)</f>
      </c>
      <c r="I123" s="16">
        <f>VLOOKUP($A123,[1]Data!$A$2:$L$873,6)</f>
      </c>
      <c r="J123" s="16">
        <f>VLOOKUP($A123,[1]Data!$A$2:$L$873,7)</f>
      </c>
      <c r="K123" s="17">
        <v>45.25695</v>
      </c>
      <c r="L123" s="18">
        <v>1073721.8</v>
      </c>
    </row>
    <row x14ac:dyDescent="0.25" r="124" customHeight="1" ht="18.75">
      <c r="A124" s="13">
        <v>31229</v>
      </c>
      <c r="B124" s="14">
        <v>36033</v>
      </c>
      <c r="C124" s="15">
        <v>50.984</v>
      </c>
      <c r="D124" s="16">
        <v>7.11</v>
      </c>
      <c r="E124" s="16">
        <v>10.34</v>
      </c>
      <c r="F124" s="16">
        <f>VLOOKUP($A124,[1]Data!$A$2:$L$873,3)</f>
      </c>
      <c r="G124" s="16">
        <f>VLOOKUP($A124,[1]Data!$A$2:$L$873,4)</f>
      </c>
      <c r="H124" s="16">
        <f>VLOOKUP($A124,[1]Data!$A$2:$L$873,5)</f>
      </c>
      <c r="I124" s="16">
        <f>VLOOKUP($A124,[1]Data!$A$2:$L$873,6)</f>
      </c>
      <c r="J124" s="16">
        <f>VLOOKUP($A124,[1]Data!$A$2:$L$873,7)</f>
      </c>
      <c r="K124" s="17">
        <v>45.58041</v>
      </c>
      <c r="L124" s="18">
        <v>1096693.3</v>
      </c>
    </row>
    <row x14ac:dyDescent="0.25" r="125" customHeight="1" ht="18.75">
      <c r="A125" s="13">
        <v>31321</v>
      </c>
      <c r="B125" s="14">
        <v>36210</v>
      </c>
      <c r="C125" s="15">
        <v>51.269</v>
      </c>
      <c r="D125" s="16">
        <v>7.17</v>
      </c>
      <c r="E125" s="16">
        <v>9.76</v>
      </c>
      <c r="F125" s="16">
        <f>VLOOKUP($A125,[1]Data!$A$2:$L$873,3)</f>
      </c>
      <c r="G125" s="16">
        <f>VLOOKUP($A125,[1]Data!$A$2:$L$873,4)</f>
      </c>
      <c r="H125" s="16">
        <f>VLOOKUP($A125,[1]Data!$A$2:$L$873,5)</f>
      </c>
      <c r="I125" s="16">
        <f>VLOOKUP($A125,[1]Data!$A$2:$L$873,6)</f>
      </c>
      <c r="J125" s="16">
        <f>VLOOKUP($A125,[1]Data!$A$2:$L$873,7)</f>
      </c>
      <c r="K125" s="17">
        <v>45.98826</v>
      </c>
      <c r="L125" s="18">
        <v>1111023.5</v>
      </c>
    </row>
    <row x14ac:dyDescent="0.25" r="126" customHeight="1" ht="18.75">
      <c r="A126" s="13">
        <v>31413</v>
      </c>
      <c r="B126" s="14">
        <v>36476</v>
      </c>
      <c r="C126" s="15">
        <v>51.524</v>
      </c>
      <c r="D126" s="16">
        <v>6.9</v>
      </c>
      <c r="E126" s="16">
        <v>8.56</v>
      </c>
      <c r="F126" s="16">
        <f>VLOOKUP($A126,[1]Data!$A$2:$L$873,3)</f>
      </c>
      <c r="G126" s="16">
        <f>VLOOKUP($A126,[1]Data!$A$2:$L$873,4)</f>
      </c>
      <c r="H126" s="16">
        <f>VLOOKUP($A126,[1]Data!$A$2:$L$873,5)</f>
      </c>
      <c r="I126" s="16">
        <f>VLOOKUP($A126,[1]Data!$A$2:$L$873,6)</f>
      </c>
      <c r="J126" s="16">
        <f>VLOOKUP($A126,[1]Data!$A$2:$L$873,7)</f>
      </c>
      <c r="K126" s="17">
        <v>46.08671</v>
      </c>
      <c r="L126" s="18">
        <v>1126973.5</v>
      </c>
    </row>
    <row x14ac:dyDescent="0.25" r="127" customHeight="1" ht="18.75">
      <c r="A127" s="13">
        <v>31503</v>
      </c>
      <c r="B127" s="14">
        <v>36563</v>
      </c>
      <c r="C127" s="15">
        <v>51.719</v>
      </c>
      <c r="D127" s="16">
        <v>6.14</v>
      </c>
      <c r="E127" s="16">
        <v>7.6</v>
      </c>
      <c r="F127" s="16">
        <f>VLOOKUP($A127,[1]Data!$A$2:$L$873,3)</f>
      </c>
      <c r="G127" s="16">
        <f>VLOOKUP($A127,[1]Data!$A$2:$L$873,4)</f>
      </c>
      <c r="H127" s="16">
        <f>VLOOKUP($A127,[1]Data!$A$2:$L$873,5)</f>
      </c>
      <c r="I127" s="16">
        <f>VLOOKUP($A127,[1]Data!$A$2:$L$873,6)</f>
      </c>
      <c r="J127" s="16">
        <f>VLOOKUP($A127,[1]Data!$A$2:$L$873,7)</f>
      </c>
      <c r="K127" s="17">
        <v>45.98826</v>
      </c>
      <c r="L127" s="18">
        <v>1136335</v>
      </c>
    </row>
    <row x14ac:dyDescent="0.25" r="128" customHeight="1" ht="18.75">
      <c r="A128" s="13">
        <v>31594</v>
      </c>
      <c r="B128" s="14">
        <v>36822</v>
      </c>
      <c r="C128" s="15">
        <v>51.931</v>
      </c>
      <c r="D128" s="16">
        <v>5.52</v>
      </c>
      <c r="E128" s="16">
        <v>7.31</v>
      </c>
      <c r="F128" s="16">
        <f>VLOOKUP($A128,[1]Data!$A$2:$L$873,3)</f>
      </c>
      <c r="G128" s="14">
        <f>VLOOKUP($A128,[1]Data!$A$2:$L$873,4)</f>
      </c>
      <c r="H128" s="16">
        <f>VLOOKUP($A128,[1]Data!$A$2:$L$873,5)</f>
      </c>
      <c r="I128" s="16">
        <f>VLOOKUP($A128,[1]Data!$A$2:$L$873,6)</f>
      </c>
      <c r="J128" s="16">
        <f>VLOOKUP($A128,[1]Data!$A$2:$L$873,7)</f>
      </c>
      <c r="K128" s="17">
        <v>46.32579</v>
      </c>
      <c r="L128" s="18">
        <v>1151917.3</v>
      </c>
    </row>
    <row x14ac:dyDescent="0.25" r="129" customHeight="1" ht="18.75">
      <c r="A129" s="13">
        <v>31686</v>
      </c>
      <c r="B129" s="14">
        <v>36931</v>
      </c>
      <c r="C129" s="15">
        <v>52.214</v>
      </c>
      <c r="D129" s="16">
        <v>5.35</v>
      </c>
      <c r="E129" s="16">
        <v>7.26</v>
      </c>
      <c r="F129" s="16">
        <f>VLOOKUP($A129,[1]Data!$A$2:$L$873,3)</f>
      </c>
      <c r="G129" s="16">
        <f>VLOOKUP($A129,[1]Data!$A$2:$L$873,4)</f>
      </c>
      <c r="H129" s="16">
        <f>VLOOKUP($A129,[1]Data!$A$2:$L$873,5)</f>
      </c>
      <c r="I129" s="16">
        <f>VLOOKUP($A129,[1]Data!$A$2:$L$873,6)</f>
      </c>
      <c r="J129" s="16">
        <f>VLOOKUP($A129,[1]Data!$A$2:$L$873,7)</f>
      </c>
      <c r="K129" s="17">
        <v>46.57894</v>
      </c>
      <c r="L129" s="18">
        <v>1164406.8</v>
      </c>
    </row>
    <row x14ac:dyDescent="0.25" r="130" customHeight="1" ht="18.75">
      <c r="A130" s="13">
        <v>31778</v>
      </c>
      <c r="B130" s="14">
        <v>37132</v>
      </c>
      <c r="C130" s="15">
        <v>52.548</v>
      </c>
      <c r="D130" s="16">
        <v>5.54</v>
      </c>
      <c r="E130" s="16">
        <v>7.19</v>
      </c>
      <c r="F130" s="16">
        <f>VLOOKUP($A130,[1]Data!$A$2:$L$873,3)</f>
      </c>
      <c r="G130" s="16">
        <f>VLOOKUP($A130,[1]Data!$A$2:$L$873,4)</f>
      </c>
      <c r="H130" s="16">
        <f>VLOOKUP($A130,[1]Data!$A$2:$L$873,5)</f>
      </c>
      <c r="I130" s="16">
        <f>VLOOKUP($A130,[1]Data!$A$2:$L$873,6)</f>
      </c>
      <c r="J130" s="16">
        <f>VLOOKUP($A130,[1]Data!$A$2:$L$873,7)</f>
      </c>
      <c r="K130" s="17">
        <v>47.09929</v>
      </c>
      <c r="L130" s="18">
        <v>1180539</v>
      </c>
    </row>
    <row x14ac:dyDescent="0.25" r="131" customHeight="1" ht="18.75">
      <c r="A131" s="13">
        <v>31868</v>
      </c>
      <c r="B131" s="14">
        <v>37454</v>
      </c>
      <c r="C131" s="15">
        <v>52.912</v>
      </c>
      <c r="D131" s="16">
        <v>5.66</v>
      </c>
      <c r="E131" s="16">
        <v>8.34</v>
      </c>
      <c r="F131" s="16">
        <f>VLOOKUP($A131,[1]Data!$A$2:$L$873,3)</f>
      </c>
      <c r="G131" s="16">
        <f>VLOOKUP($A131,[1]Data!$A$2:$L$873,4)</f>
      </c>
      <c r="H131" s="16">
        <f>VLOOKUP($A131,[1]Data!$A$2:$L$873,5)</f>
      </c>
      <c r="I131" s="16">
        <f>VLOOKUP($A131,[1]Data!$A$2:$L$873,6)</f>
      </c>
      <c r="J131" s="16">
        <f>VLOOKUP($A131,[1]Data!$A$2:$L$873,7)</f>
      </c>
      <c r="K131" s="17">
        <v>47.7181</v>
      </c>
      <c r="L131" s="18">
        <v>1201540</v>
      </c>
    </row>
    <row x14ac:dyDescent="0.25" r="132" customHeight="1" ht="18.75">
      <c r="A132" s="13">
        <v>31959</v>
      </c>
      <c r="B132" s="14">
        <v>37685</v>
      </c>
      <c r="C132" s="15">
        <v>53.313</v>
      </c>
      <c r="D132" s="16">
        <v>6.04</v>
      </c>
      <c r="E132" s="16">
        <v>8.88</v>
      </c>
      <c r="F132" s="16">
        <f>VLOOKUP($A132,[1]Data!$A$2:$L$873,3)</f>
      </c>
      <c r="G132" s="16">
        <f>VLOOKUP($A132,[1]Data!$A$2:$L$873,4)</f>
      </c>
      <c r="H132" s="16">
        <f>VLOOKUP($A132,[1]Data!$A$2:$L$873,5)</f>
      </c>
      <c r="I132" s="16">
        <f>VLOOKUP($A132,[1]Data!$A$2:$L$873,6)</f>
      </c>
      <c r="J132" s="16">
        <f>VLOOKUP($A132,[1]Data!$A$2:$L$873,7)</f>
      </c>
      <c r="K132" s="17">
        <v>48.26658</v>
      </c>
      <c r="L132" s="18">
        <v>1221138.8</v>
      </c>
    </row>
    <row x14ac:dyDescent="0.25" r="133" customHeight="1" ht="18.75">
      <c r="A133" s="13">
        <v>32051</v>
      </c>
      <c r="B133" s="14">
        <v>38238</v>
      </c>
      <c r="C133" s="15">
        <v>53.738</v>
      </c>
      <c r="D133" s="16">
        <v>5.86</v>
      </c>
      <c r="E133" s="16">
        <v>9.12</v>
      </c>
      <c r="F133" s="16">
        <f>VLOOKUP($A133,[1]Data!$A$2:$L$873,3)</f>
      </c>
      <c r="G133" s="14">
        <f>VLOOKUP($A133,[1]Data!$A$2:$L$873,4)</f>
      </c>
      <c r="H133" s="16">
        <f>VLOOKUP($A133,[1]Data!$A$2:$L$873,5)</f>
      </c>
      <c r="I133" s="16">
        <f>VLOOKUP($A133,[1]Data!$A$2:$L$873,6)</f>
      </c>
      <c r="J133" s="16">
        <f>VLOOKUP($A133,[1]Data!$A$2:$L$873,7)</f>
      </c>
      <c r="K133" s="17">
        <v>48.67443</v>
      </c>
      <c r="L133" s="18">
        <v>1251998.5</v>
      </c>
    </row>
    <row x14ac:dyDescent="0.25" r="134" customHeight="1" ht="18.75">
      <c r="A134" s="13">
        <v>32143</v>
      </c>
      <c r="B134" s="14">
        <v>38359</v>
      </c>
      <c r="C134" s="15">
        <v>54.159</v>
      </c>
      <c r="D134" s="16">
        <v>5.72</v>
      </c>
      <c r="E134" s="16">
        <v>8.42</v>
      </c>
      <c r="F134" s="16">
        <f>VLOOKUP($A134,[1]Data!$A$2:$L$873,3)</f>
      </c>
      <c r="G134" s="16">
        <f>VLOOKUP($A134,[1]Data!$A$2:$L$873,4)</f>
      </c>
      <c r="H134" s="16">
        <f>VLOOKUP($A134,[1]Data!$A$2:$L$873,5)</f>
      </c>
      <c r="I134" s="16">
        <f>VLOOKUP($A134,[1]Data!$A$2:$L$873,6)</f>
      </c>
      <c r="J134" s="16">
        <f>VLOOKUP($A134,[1]Data!$A$2:$L$873,7)</f>
      </c>
      <c r="K134" s="17">
        <v>48.96976</v>
      </c>
      <c r="L134" s="18">
        <v>1268343</v>
      </c>
    </row>
    <row x14ac:dyDescent="0.25" r="135" customHeight="1" ht="18.75">
      <c r="A135" s="13">
        <v>32234</v>
      </c>
      <c r="B135" s="14">
        <v>38782</v>
      </c>
      <c r="C135" s="15">
        <v>54.686</v>
      </c>
      <c r="D135" s="16">
        <v>6.21</v>
      </c>
      <c r="E135" s="16">
        <v>8.91</v>
      </c>
      <c r="F135" s="16">
        <f>VLOOKUP($A135,[1]Data!$A$2:$L$873,3)</f>
      </c>
      <c r="G135" s="16">
        <f>VLOOKUP($A135,[1]Data!$A$2:$L$873,4)</f>
      </c>
      <c r="H135" s="16">
        <f>VLOOKUP($A135,[1]Data!$A$2:$L$873,5)</f>
      </c>
      <c r="I135" s="16">
        <f>VLOOKUP($A135,[1]Data!$A$2:$L$873,6)</f>
      </c>
      <c r="J135" s="16">
        <f>VLOOKUP($A135,[1]Data!$A$2:$L$873,7)</f>
      </c>
      <c r="K135" s="17">
        <v>49.58857</v>
      </c>
      <c r="L135" s="18">
        <v>1297509</v>
      </c>
    </row>
    <row x14ac:dyDescent="0.25" r="136" customHeight="1" ht="18.75">
      <c r="A136" s="13">
        <v>32325</v>
      </c>
      <c r="B136" s="14">
        <v>38908</v>
      </c>
      <c r="C136" s="15">
        <v>55.34</v>
      </c>
      <c r="D136" s="16">
        <v>7.01</v>
      </c>
      <c r="E136" s="16">
        <v>9.1</v>
      </c>
      <c r="F136" s="16">
        <f>VLOOKUP($A136,[1]Data!$A$2:$L$873,3)</f>
      </c>
      <c r="G136" s="16">
        <f>VLOOKUP($A136,[1]Data!$A$2:$L$873,4)</f>
      </c>
      <c r="H136" s="16">
        <f>VLOOKUP($A136,[1]Data!$A$2:$L$873,5)</f>
      </c>
      <c r="I136" s="16">
        <f>VLOOKUP($A136,[1]Data!$A$2:$L$873,6)</f>
      </c>
      <c r="J136" s="16">
        <f>VLOOKUP($A136,[1]Data!$A$2:$L$873,7)</f>
      </c>
      <c r="K136" s="17">
        <v>50.24956</v>
      </c>
      <c r="L136" s="18">
        <v>1320708.8</v>
      </c>
    </row>
    <row x14ac:dyDescent="0.25" r="137" customHeight="1" ht="18.75">
      <c r="A137" s="13">
        <v>32417</v>
      </c>
      <c r="B137" s="14">
        <v>39328</v>
      </c>
      <c r="C137" s="15">
        <v>55.818</v>
      </c>
      <c r="D137" s="16">
        <v>7.73</v>
      </c>
      <c r="E137" s="16">
        <v>8.96</v>
      </c>
      <c r="F137" s="16">
        <f>VLOOKUP($A137,[1]Data!$A$2:$L$873,3)</f>
      </c>
      <c r="G137" s="14">
        <f>VLOOKUP($A137,[1]Data!$A$2:$L$873,4)</f>
      </c>
      <c r="H137" s="16">
        <f>VLOOKUP($A137,[1]Data!$A$2:$L$873,5)</f>
      </c>
      <c r="I137" s="16">
        <f>VLOOKUP($A137,[1]Data!$A$2:$L$873,6)</f>
      </c>
      <c r="J137" s="16">
        <f>VLOOKUP($A137,[1]Data!$A$2:$L$873,7)</f>
      </c>
      <c r="K137" s="17">
        <v>50.76992</v>
      </c>
      <c r="L137" s="18">
        <v>1349877.3</v>
      </c>
    </row>
    <row x14ac:dyDescent="0.25" r="138" customHeight="1" ht="18.75">
      <c r="A138" s="13">
        <v>32509</v>
      </c>
      <c r="B138" s="14">
        <v>39648</v>
      </c>
      <c r="C138" s="15">
        <v>56.4</v>
      </c>
      <c r="D138" s="16">
        <v>8.54</v>
      </c>
      <c r="E138" s="16">
        <v>9.21</v>
      </c>
      <c r="F138" s="16">
        <f>VLOOKUP($A138,[1]Data!$A$2:$L$873,3)</f>
      </c>
      <c r="G138" s="14">
        <f>VLOOKUP($A138,[1]Data!$A$2:$L$873,4)</f>
      </c>
      <c r="H138" s="16">
        <f>VLOOKUP($A138,[1]Data!$A$2:$L$873,5)</f>
      </c>
      <c r="I138" s="16">
        <f>VLOOKUP($A138,[1]Data!$A$2:$L$873,6)</f>
      </c>
      <c r="J138" s="16">
        <f>VLOOKUP($A138,[1]Data!$A$2:$L$873,7)</f>
      </c>
      <c r="K138" s="17">
        <v>51.33246</v>
      </c>
      <c r="L138" s="18">
        <v>1377813.3</v>
      </c>
    </row>
    <row x14ac:dyDescent="0.25" r="139" customHeight="1" ht="18.75">
      <c r="A139" s="13">
        <v>32599</v>
      </c>
      <c r="B139" s="14">
        <v>39861</v>
      </c>
      <c r="C139" s="15">
        <v>57.001</v>
      </c>
      <c r="D139" s="16">
        <v>8.41</v>
      </c>
      <c r="E139" s="16">
        <v>8.77</v>
      </c>
      <c r="F139" s="16">
        <f>VLOOKUP($A139,[1]Data!$A$2:$L$873,3)</f>
      </c>
      <c r="G139" s="16">
        <f>VLOOKUP($A139,[1]Data!$A$2:$L$873,4)</f>
      </c>
      <c r="H139" s="16">
        <f>VLOOKUP($A139,[1]Data!$A$2:$L$873,5)</f>
      </c>
      <c r="I139" s="16">
        <f>VLOOKUP($A139,[1]Data!$A$2:$L$873,6)</f>
      </c>
      <c r="J139" s="16">
        <f>VLOOKUP($A139,[1]Data!$A$2:$L$873,7)</f>
      </c>
      <c r="K139" s="17">
        <v>52.17628</v>
      </c>
      <c r="L139" s="18">
        <v>1403115.8</v>
      </c>
    </row>
    <row x14ac:dyDescent="0.25" r="140" customHeight="1" ht="18.75">
      <c r="A140" s="13">
        <v>32690</v>
      </c>
      <c r="B140" s="14">
        <v>40046</v>
      </c>
      <c r="C140" s="15">
        <v>57.417</v>
      </c>
      <c r="D140" s="16">
        <v>7.84</v>
      </c>
      <c r="E140" s="16">
        <v>8.11</v>
      </c>
      <c r="F140" s="16">
        <f>VLOOKUP($A140,[1]Data!$A$2:$L$873,3)</f>
      </c>
      <c r="G140" s="16">
        <f>VLOOKUP($A140,[1]Data!$A$2:$L$873,4)</f>
      </c>
      <c r="H140" s="16">
        <f>VLOOKUP($A140,[1]Data!$A$2:$L$873,5)</f>
      </c>
      <c r="I140" s="16">
        <f>VLOOKUP($A140,[1]Data!$A$2:$L$873,6)</f>
      </c>
      <c r="J140" s="16">
        <f>VLOOKUP($A140,[1]Data!$A$2:$L$873,7)</f>
      </c>
      <c r="K140" s="17">
        <v>52.5982</v>
      </c>
      <c r="L140" s="18">
        <v>1423841.3</v>
      </c>
    </row>
    <row x14ac:dyDescent="0.25" r="141" customHeight="1" ht="18.75">
      <c r="A141" s="13">
        <v>32782</v>
      </c>
      <c r="B141" s="14">
        <v>40015</v>
      </c>
      <c r="C141" s="15">
        <v>57.826</v>
      </c>
      <c r="D141" s="16">
        <v>7.65</v>
      </c>
      <c r="E141" s="16">
        <v>7.91</v>
      </c>
      <c r="F141" s="16">
        <f>VLOOKUP($A141,[1]Data!$A$2:$L$873,3)</f>
      </c>
      <c r="G141" s="16">
        <f>VLOOKUP($A141,[1]Data!$A$2:$L$873,4)</f>
      </c>
      <c r="H141" s="16">
        <f>VLOOKUP($A141,[1]Data!$A$2:$L$873,5)</f>
      </c>
      <c r="I141" s="16">
        <f>VLOOKUP($A141,[1]Data!$A$2:$L$873,6)</f>
      </c>
      <c r="J141" s="16">
        <f>VLOOKUP($A141,[1]Data!$A$2:$L$873,7)</f>
      </c>
      <c r="K141" s="17">
        <v>53.10449000000001</v>
      </c>
      <c r="L141" s="18">
        <v>1436809.3</v>
      </c>
    </row>
    <row x14ac:dyDescent="0.25" r="142" customHeight="1" ht="18.75">
      <c r="A142" s="13">
        <v>32874</v>
      </c>
      <c r="B142" s="14">
        <v>40361</v>
      </c>
      <c r="C142" s="15">
        <v>58.45</v>
      </c>
      <c r="D142" s="16">
        <v>7.76</v>
      </c>
      <c r="E142" s="16">
        <v>8.42</v>
      </c>
      <c r="F142" s="16">
        <f>VLOOKUP($A142,[1]Data!$A$2:$L$873,3)</f>
      </c>
      <c r="G142" s="16">
        <f>VLOOKUP($A142,[1]Data!$A$2:$L$873,4)</f>
      </c>
      <c r="H142" s="16">
        <f>VLOOKUP($A142,[1]Data!$A$2:$L$873,5)</f>
      </c>
      <c r="I142" s="16">
        <f>VLOOKUP($A142,[1]Data!$A$2:$L$873,6)</f>
      </c>
      <c r="J142" s="16">
        <f>VLOOKUP($A142,[1]Data!$A$2:$L$873,7)</f>
      </c>
      <c r="K142" s="17">
        <v>54.01863</v>
      </c>
      <c r="L142" s="18">
        <v>1468175.3</v>
      </c>
    </row>
    <row x14ac:dyDescent="0.25" r="143" customHeight="1" ht="18.75">
      <c r="A143" s="13">
        <v>32964</v>
      </c>
      <c r="B143" s="14">
        <v>40382</v>
      </c>
      <c r="C143" s="15">
        <v>59.105</v>
      </c>
      <c r="D143" s="16">
        <v>7.75</v>
      </c>
      <c r="E143" s="16">
        <v>8.68</v>
      </c>
      <c r="F143" s="16">
        <f>VLOOKUP($A143,[1]Data!$A$2:$L$873,3)</f>
      </c>
      <c r="G143" s="16">
        <f>VLOOKUP($A143,[1]Data!$A$2:$L$873,4)</f>
      </c>
      <c r="H143" s="16">
        <f>VLOOKUP($A143,[1]Data!$A$2:$L$873,5)</f>
      </c>
      <c r="I143" s="16">
        <f>VLOOKUP($A143,[1]Data!$A$2:$L$873,6)</f>
      </c>
      <c r="J143" s="16">
        <f>VLOOKUP($A143,[1]Data!$A$2:$L$873,7)</f>
      </c>
      <c r="K143" s="17">
        <v>54.56711</v>
      </c>
      <c r="L143" s="18">
        <v>1490007</v>
      </c>
    </row>
    <row x14ac:dyDescent="0.25" r="144" customHeight="1" ht="18.75">
      <c r="A144" s="13">
        <v>33055</v>
      </c>
      <c r="B144" s="14">
        <v>40266</v>
      </c>
      <c r="C144" s="15">
        <v>59.611</v>
      </c>
      <c r="D144" s="16">
        <v>7.48</v>
      </c>
      <c r="E144" s="16">
        <v>8.7</v>
      </c>
      <c r="F144" s="16">
        <f>VLOOKUP($A144,[1]Data!$A$2:$L$873,3)</f>
      </c>
      <c r="G144" s="16">
        <f>VLOOKUP($A144,[1]Data!$A$2:$L$873,4)</f>
      </c>
      <c r="H144" s="16">
        <f>VLOOKUP($A144,[1]Data!$A$2:$L$873,5)</f>
      </c>
      <c r="I144" s="16">
        <f>VLOOKUP($A144,[1]Data!$A$2:$L$873,6)</f>
      </c>
      <c r="J144" s="16">
        <f>VLOOKUP($A144,[1]Data!$A$2:$L$873,7)</f>
      </c>
      <c r="K144" s="17">
        <v>55.50938000000001</v>
      </c>
      <c r="L144" s="18">
        <v>1503779</v>
      </c>
    </row>
    <row x14ac:dyDescent="0.25" r="145" customHeight="1" ht="18.75">
      <c r="A145" s="13">
        <v>33147</v>
      </c>
      <c r="B145" s="14">
        <v>39759</v>
      </c>
      <c r="C145" s="15">
        <v>60.055</v>
      </c>
      <c r="D145" s="16">
        <v>6.99</v>
      </c>
      <c r="E145" s="16">
        <v>8.4</v>
      </c>
      <c r="F145" s="16">
        <f>VLOOKUP($A145,[1]Data!$A$2:$L$873,3)</f>
      </c>
      <c r="G145" s="16">
        <f>VLOOKUP($A145,[1]Data!$A$2:$L$873,4)</f>
      </c>
      <c r="H145" s="16">
        <f>VLOOKUP($A145,[1]Data!$A$2:$L$873,5)</f>
      </c>
      <c r="I145" s="16">
        <f>VLOOKUP($A145,[1]Data!$A$2:$L$873,6)</f>
      </c>
      <c r="J145" s="16">
        <f>VLOOKUP($A145,[1]Data!$A$2:$L$873,7)</f>
      </c>
      <c r="K145" s="17">
        <v>56.40945</v>
      </c>
      <c r="L145" s="18">
        <v>1501183.3</v>
      </c>
    </row>
    <row x14ac:dyDescent="0.25" r="146" customHeight="1" ht="18.75">
      <c r="A146" s="13">
        <v>33239</v>
      </c>
      <c r="B146" s="14">
        <v>39451</v>
      </c>
      <c r="C146" s="15">
        <v>60.643</v>
      </c>
      <c r="D146" s="16">
        <v>6.02</v>
      </c>
      <c r="E146" s="16">
        <v>8.02</v>
      </c>
      <c r="F146" s="16">
        <f>VLOOKUP($A146,[1]Data!$A$2:$L$873,3)</f>
      </c>
      <c r="G146" s="16">
        <f>VLOOKUP($A146,[1]Data!$A$2:$L$873,4)</f>
      </c>
      <c r="H146" s="16">
        <f>VLOOKUP($A146,[1]Data!$A$2:$L$873,5)</f>
      </c>
      <c r="I146" s="16">
        <f>VLOOKUP($A146,[1]Data!$A$2:$L$873,6)</f>
      </c>
      <c r="J146" s="16">
        <f>VLOOKUP($A146,[1]Data!$A$2:$L$873,7)</f>
      </c>
      <c r="K146" s="17">
        <v>56.87356</v>
      </c>
      <c r="L146" s="18">
        <v>1508794.5</v>
      </c>
    </row>
    <row x14ac:dyDescent="0.25" r="147" customHeight="1" ht="18.75">
      <c r="A147" s="13">
        <v>33329</v>
      </c>
      <c r="B147" s="14">
        <v>39632</v>
      </c>
      <c r="C147" s="15">
        <v>61.088</v>
      </c>
      <c r="D147" s="16">
        <v>5.56</v>
      </c>
      <c r="E147" s="16">
        <v>8.13</v>
      </c>
      <c r="F147" s="16">
        <f>VLOOKUP($A147,[1]Data!$A$2:$L$873,3)</f>
      </c>
      <c r="G147" s="16">
        <f>VLOOKUP($A147,[1]Data!$A$2:$L$873,4)</f>
      </c>
      <c r="H147" s="16">
        <f>VLOOKUP($A147,[1]Data!$A$2:$L$873,5)</f>
      </c>
      <c r="I147" s="16">
        <f>VLOOKUP($A147,[1]Data!$A$2:$L$873,6)</f>
      </c>
      <c r="J147" s="16">
        <f>VLOOKUP($A147,[1]Data!$A$2:$L$873,7)</f>
      </c>
      <c r="K147" s="17">
        <v>57.21109000000001</v>
      </c>
      <c r="L147" s="18">
        <v>1531715.5</v>
      </c>
    </row>
    <row x14ac:dyDescent="0.25" r="148" customHeight="1" ht="18.75">
      <c r="A148" s="13">
        <v>33420</v>
      </c>
      <c r="B148" s="14">
        <v>39691</v>
      </c>
      <c r="C148" s="15">
        <v>61.566</v>
      </c>
      <c r="D148" s="16">
        <v>5.38</v>
      </c>
      <c r="E148" s="16">
        <v>7.94</v>
      </c>
      <c r="F148" s="16">
        <f>VLOOKUP($A148,[1]Data!$A$2:$L$873,3)</f>
      </c>
      <c r="G148" s="16">
        <f>VLOOKUP($A148,[1]Data!$A$2:$L$873,4)</f>
      </c>
      <c r="H148" s="16">
        <f>VLOOKUP($A148,[1]Data!$A$2:$L$873,5)</f>
      </c>
      <c r="I148" s="16">
        <f>VLOOKUP($A148,[1]Data!$A$2:$L$873,6)</f>
      </c>
      <c r="J148" s="16">
        <f>VLOOKUP($A148,[1]Data!$A$2:$L$873,7)</f>
      </c>
      <c r="K148" s="17">
        <v>57.66113000000001</v>
      </c>
      <c r="L148" s="18">
        <v>1551484.3</v>
      </c>
    </row>
    <row x14ac:dyDescent="0.25" r="149" customHeight="1" ht="18.75">
      <c r="A149" s="13">
        <v>33512</v>
      </c>
      <c r="B149" s="14">
        <v>39694</v>
      </c>
      <c r="C149" s="15">
        <v>61.931</v>
      </c>
      <c r="D149" s="16">
        <v>4.54</v>
      </c>
      <c r="E149" s="16">
        <v>7.35</v>
      </c>
      <c r="F149" s="16">
        <f>VLOOKUP($A149,[1]Data!$A$2:$L$873,3)</f>
      </c>
      <c r="G149" s="16">
        <f>VLOOKUP($A149,[1]Data!$A$2:$L$873,4)</f>
      </c>
      <c r="H149" s="16">
        <f>VLOOKUP($A149,[1]Data!$A$2:$L$873,5)</f>
      </c>
      <c r="I149" s="16">
        <f>VLOOKUP($A149,[1]Data!$A$2:$L$873,6)</f>
      </c>
      <c r="J149" s="16">
        <f>VLOOKUP($A149,[1]Data!$A$2:$L$873,7)</f>
      </c>
      <c r="K149" s="17">
        <v>58.0971</v>
      </c>
      <c r="L149" s="18">
        <v>1566135</v>
      </c>
    </row>
    <row x14ac:dyDescent="0.25" r="150" customHeight="1" ht="18.75">
      <c r="A150" s="13">
        <v>33604</v>
      </c>
      <c r="B150" s="14">
        <v>40051</v>
      </c>
      <c r="C150" s="15">
        <v>62.161</v>
      </c>
      <c r="D150" s="16">
        <v>3.89</v>
      </c>
      <c r="E150" s="16">
        <v>7.3</v>
      </c>
      <c r="F150" s="16">
        <f>VLOOKUP($A150,[1]Data!$A$2:$L$873,3)</f>
      </c>
      <c r="G150" s="16">
        <f>VLOOKUP($A150,[1]Data!$A$2:$L$873,4)</f>
      </c>
      <c r="H150" s="16">
        <f>VLOOKUP($A150,[1]Data!$A$2:$L$873,5)</f>
      </c>
      <c r="I150" s="16">
        <f>VLOOKUP($A150,[1]Data!$A$2:$L$873,6)</f>
      </c>
      <c r="J150" s="16">
        <f>VLOOKUP($A150,[1]Data!$A$2:$L$873,7)</f>
      </c>
      <c r="K150" s="17">
        <v>58.50494</v>
      </c>
      <c r="L150" s="18">
        <v>1590775.5</v>
      </c>
    </row>
    <row x14ac:dyDescent="0.25" r="151" customHeight="1" ht="18.75">
      <c r="A151" s="13">
        <v>33695</v>
      </c>
      <c r="B151" s="14">
        <v>40350</v>
      </c>
      <c r="C151" s="15">
        <v>62.535</v>
      </c>
      <c r="D151" s="16">
        <v>3.68</v>
      </c>
      <c r="E151" s="16">
        <v>7.38</v>
      </c>
      <c r="F151" s="16">
        <f>VLOOKUP($A151,[1]Data!$A$2:$L$873,3)</f>
      </c>
      <c r="G151" s="16">
        <f>VLOOKUP($A151,[1]Data!$A$2:$L$873,4)</f>
      </c>
      <c r="H151" s="16">
        <f>VLOOKUP($A151,[1]Data!$A$2:$L$873,5)</f>
      </c>
      <c r="I151" s="16">
        <f>VLOOKUP($A151,[1]Data!$A$2:$L$873,6)</f>
      </c>
      <c r="J151" s="16">
        <f>VLOOKUP($A151,[1]Data!$A$2:$L$873,7)</f>
      </c>
      <c r="K151" s="17">
        <v>58.98311</v>
      </c>
      <c r="L151" s="18">
        <v>1617690.8</v>
      </c>
    </row>
    <row x14ac:dyDescent="0.25" r="152" customHeight="1" ht="18.75">
      <c r="A152" s="13">
        <v>33786</v>
      </c>
      <c r="B152" s="14">
        <v>40599</v>
      </c>
      <c r="C152" s="15">
        <v>62.841</v>
      </c>
      <c r="D152" s="16">
        <v>3.08</v>
      </c>
      <c r="E152" s="16">
        <v>6.62</v>
      </c>
      <c r="F152" s="16">
        <f>VLOOKUP($A152,[1]Data!$A$2:$L$873,3)</f>
      </c>
      <c r="G152" s="16">
        <f>VLOOKUP($A152,[1]Data!$A$2:$L$873,4)</f>
      </c>
      <c r="H152" s="16">
        <f>VLOOKUP($A152,[1]Data!$A$2:$L$873,5)</f>
      </c>
      <c r="I152" s="16">
        <f>VLOOKUP($A152,[1]Data!$A$2:$L$873,6)</f>
      </c>
      <c r="J152" s="16">
        <f>VLOOKUP($A152,[1]Data!$A$2:$L$873,7)</f>
      </c>
      <c r="K152" s="17">
        <v>59.44721</v>
      </c>
      <c r="L152" s="18">
        <v>1641660.3</v>
      </c>
    </row>
    <row x14ac:dyDescent="0.25" r="153" customHeight="1" ht="18.75">
      <c r="A153" s="13">
        <v>33878</v>
      </c>
      <c r="B153" s="14">
        <v>40881</v>
      </c>
      <c r="C153" s="15">
        <v>63.273</v>
      </c>
      <c r="D153" s="16">
        <v>3.07</v>
      </c>
      <c r="E153" s="16">
        <v>6.74</v>
      </c>
      <c r="F153" s="16">
        <f>VLOOKUP($A153,[1]Data!$A$2:$L$873,3)</f>
      </c>
      <c r="G153" s="16">
        <f>VLOOKUP($A153,[1]Data!$A$2:$L$873,4)</f>
      </c>
      <c r="H153" s="16">
        <f>VLOOKUP($A153,[1]Data!$A$2:$L$873,5)</f>
      </c>
      <c r="I153" s="16">
        <f>VLOOKUP($A153,[1]Data!$A$2:$L$873,6)</f>
      </c>
      <c r="J153" s="16">
        <f>VLOOKUP($A153,[1]Data!$A$2:$L$873,7)</f>
      </c>
      <c r="K153" s="17">
        <v>59.86912</v>
      </c>
      <c r="L153" s="18">
        <v>1670200.8</v>
      </c>
    </row>
    <row x14ac:dyDescent="0.25" r="154" customHeight="1" ht="18.75">
      <c r="A154" s="13">
        <v>33970</v>
      </c>
      <c r="B154" s="14">
        <v>40829</v>
      </c>
      <c r="C154" s="15">
        <v>63.628</v>
      </c>
      <c r="D154" s="16">
        <v>2.96</v>
      </c>
      <c r="E154" s="16">
        <v>6.28</v>
      </c>
      <c r="F154" s="16">
        <f>VLOOKUP($A154,[1]Data!$A$2:$L$873,3)</f>
      </c>
      <c r="G154" s="16">
        <f>VLOOKUP($A154,[1]Data!$A$2:$L$873,4)</f>
      </c>
      <c r="H154" s="16">
        <f>VLOOKUP($A154,[1]Data!$A$2:$L$873,5)</f>
      </c>
      <c r="I154" s="16">
        <f>VLOOKUP($A154,[1]Data!$A$2:$L$873,6)</f>
      </c>
      <c r="J154" s="16">
        <f>VLOOKUP($A154,[1]Data!$A$2:$L$873,7)</f>
      </c>
      <c r="K154" s="17">
        <v>60.37542</v>
      </c>
      <c r="L154" s="18">
        <v>1682364.8</v>
      </c>
    </row>
    <row x14ac:dyDescent="0.25" r="155" customHeight="1" ht="18.75">
      <c r="A155" s="13">
        <v>34060</v>
      </c>
      <c r="B155" s="14">
        <v>40942</v>
      </c>
      <c r="C155" s="15">
        <v>64.007</v>
      </c>
      <c r="D155" s="16">
        <v>2.97</v>
      </c>
      <c r="E155" s="16">
        <v>5.99</v>
      </c>
      <c r="F155" s="16">
        <f>VLOOKUP($A155,[1]Data!$A$2:$L$873,3)</f>
      </c>
      <c r="G155" s="16">
        <f>VLOOKUP($A155,[1]Data!$A$2:$L$873,4)</f>
      </c>
      <c r="H155" s="16">
        <f>VLOOKUP($A155,[1]Data!$A$2:$L$873,5)</f>
      </c>
      <c r="I155" s="16">
        <f>VLOOKUP($A155,[1]Data!$A$2:$L$873,6)</f>
      </c>
      <c r="J155" s="16">
        <f>VLOOKUP($A155,[1]Data!$A$2:$L$873,7)</f>
      </c>
      <c r="K155" s="17">
        <v>60.83951999999999</v>
      </c>
      <c r="L155" s="18">
        <v>1702234.8</v>
      </c>
    </row>
    <row x14ac:dyDescent="0.25" r="156" customHeight="1" ht="18.75">
      <c r="A156" s="13">
        <v>34151</v>
      </c>
      <c r="B156" s="14">
        <v>40997</v>
      </c>
      <c r="C156" s="15">
        <v>64.387</v>
      </c>
      <c r="D156" s="16">
        <v>3</v>
      </c>
      <c r="E156" s="16">
        <v>5.62</v>
      </c>
      <c r="F156" s="16">
        <f>VLOOKUP($A156,[1]Data!$A$2:$L$873,3)</f>
      </c>
      <c r="G156" s="16">
        <f>VLOOKUP($A156,[1]Data!$A$2:$L$873,4)</f>
      </c>
      <c r="H156" s="16">
        <f>VLOOKUP($A156,[1]Data!$A$2:$L$873,5)</f>
      </c>
      <c r="I156" s="16">
        <f>VLOOKUP($A156,[1]Data!$A$2:$L$873,6)</f>
      </c>
      <c r="J156" s="16">
        <f>VLOOKUP($A156,[1]Data!$A$2:$L$873,7)</f>
      </c>
      <c r="K156" s="17">
        <v>61.0786</v>
      </c>
      <c r="L156" s="18">
        <v>1720524.5</v>
      </c>
    </row>
    <row x14ac:dyDescent="0.25" r="157" customHeight="1" ht="18.75">
      <c r="A157" s="13">
        <v>34243</v>
      </c>
      <c r="B157" s="14">
        <v>41423</v>
      </c>
      <c r="C157" s="15">
        <v>64.738</v>
      </c>
      <c r="D157" s="16">
        <v>3.06</v>
      </c>
      <c r="E157" s="16">
        <v>5.61</v>
      </c>
      <c r="F157" s="16">
        <f>VLOOKUP($A157,[1]Data!$A$2:$L$873,3)</f>
      </c>
      <c r="G157" s="16">
        <f>VLOOKUP($A157,[1]Data!$A$2:$L$873,4)</f>
      </c>
      <c r="H157" s="16">
        <f>VLOOKUP($A157,[1]Data!$A$2:$L$873,5)</f>
      </c>
      <c r="I157" s="16">
        <f>VLOOKUP($A157,[1]Data!$A$2:$L$873,6)</f>
      </c>
      <c r="J157" s="16">
        <f>VLOOKUP($A157,[1]Data!$A$2:$L$873,7)</f>
      </c>
      <c r="K157" s="17">
        <v>61.50051</v>
      </c>
      <c r="L157" s="18">
        <v>1753434.5</v>
      </c>
    </row>
    <row x14ac:dyDescent="0.25" r="158" customHeight="1" ht="18.75">
      <c r="A158" s="13">
        <v>34335</v>
      </c>
      <c r="B158" s="14">
        <v>41713</v>
      </c>
      <c r="C158" s="15">
        <v>65.048</v>
      </c>
      <c r="D158" s="16">
        <v>3.24</v>
      </c>
      <c r="E158" s="16">
        <v>6.07</v>
      </c>
      <c r="F158" s="16">
        <f>VLOOKUP($A158,[1]Data!$A$2:$L$873,3)</f>
      </c>
      <c r="G158" s="16">
        <f>VLOOKUP($A158,[1]Data!$A$2:$L$873,4)</f>
      </c>
      <c r="H158" s="16">
        <f>VLOOKUP($A158,[1]Data!$A$2:$L$873,5)</f>
      </c>
      <c r="I158" s="16">
        <f>VLOOKUP($A158,[1]Data!$A$2:$L$873,6)</f>
      </c>
      <c r="J158" s="16">
        <f>VLOOKUP($A158,[1]Data!$A$2:$L$873,7)</f>
      </c>
      <c r="K158" s="17">
        <v>61.89429000000001</v>
      </c>
      <c r="L158" s="18">
        <v>1778913</v>
      </c>
    </row>
    <row x14ac:dyDescent="0.25" r="159" customHeight="1" ht="18.75">
      <c r="A159" s="13">
        <v>34425</v>
      </c>
      <c r="B159" s="14">
        <v>42154</v>
      </c>
      <c r="C159" s="15">
        <v>65.362</v>
      </c>
      <c r="D159" s="16">
        <v>3.99</v>
      </c>
      <c r="E159" s="16">
        <v>7.08</v>
      </c>
      <c r="F159" s="16">
        <f>VLOOKUP($A159,[1]Data!$A$2:$L$873,3)</f>
      </c>
      <c r="G159" s="16">
        <f>VLOOKUP($A159,[1]Data!$A$2:$L$873,4)</f>
      </c>
      <c r="H159" s="16">
        <f>VLOOKUP($A159,[1]Data!$A$2:$L$873,5)</f>
      </c>
      <c r="I159" s="16">
        <f>VLOOKUP($A159,[1]Data!$A$2:$L$873,6)</f>
      </c>
      <c r="J159" s="16">
        <f>VLOOKUP($A159,[1]Data!$A$2:$L$873,7)</f>
      </c>
      <c r="K159" s="17">
        <v>62.28808000000001</v>
      </c>
      <c r="L159" s="18">
        <v>1811732.8</v>
      </c>
    </row>
    <row x14ac:dyDescent="0.25" r="160" customHeight="1" ht="18.75">
      <c r="A160" s="13">
        <v>34516</v>
      </c>
      <c r="B160" s="14">
        <v>42264</v>
      </c>
      <c r="C160" s="15">
        <v>65.737</v>
      </c>
      <c r="D160" s="16">
        <v>4.48</v>
      </c>
      <c r="E160" s="16">
        <v>7.33</v>
      </c>
      <c r="F160" s="16">
        <f>VLOOKUP($A160,[1]Data!$A$2:$L$873,3)</f>
      </c>
      <c r="G160" s="16">
        <f>VLOOKUP($A160,[1]Data!$A$2:$L$873,4)</f>
      </c>
      <c r="H160" s="16">
        <f>VLOOKUP($A160,[1]Data!$A$2:$L$873,5)</f>
      </c>
      <c r="I160" s="16">
        <f>VLOOKUP($A160,[1]Data!$A$2:$L$873,6)</f>
      </c>
      <c r="J160" s="16">
        <f>VLOOKUP($A160,[1]Data!$A$2:$L$873,7)</f>
      </c>
      <c r="K160" s="17">
        <v>62.83656</v>
      </c>
      <c r="L160" s="18">
        <v>1832768.8</v>
      </c>
    </row>
    <row x14ac:dyDescent="0.25" r="161" customHeight="1" ht="18.75">
      <c r="A161" s="13">
        <v>34608</v>
      </c>
      <c r="B161" s="14">
        <v>42618</v>
      </c>
      <c r="C161" s="15">
        <v>66.093</v>
      </c>
      <c r="D161" s="16">
        <v>5.28</v>
      </c>
      <c r="E161" s="16">
        <v>7.84</v>
      </c>
      <c r="F161" s="16">
        <f>VLOOKUP($A161,[1]Data!$A$2:$L$873,3)</f>
      </c>
      <c r="G161" s="16">
        <f>VLOOKUP($A161,[1]Data!$A$2:$L$873,4)</f>
      </c>
      <c r="H161" s="16">
        <f>VLOOKUP($A161,[1]Data!$A$2:$L$873,5)</f>
      </c>
      <c r="I161" s="16">
        <f>VLOOKUP($A161,[1]Data!$A$2:$L$873,6)</f>
      </c>
      <c r="J161" s="16">
        <f>VLOOKUP($A161,[1]Data!$A$2:$L$873,7)</f>
      </c>
      <c r="K161" s="17">
        <v>63.1319</v>
      </c>
      <c r="L161" s="18">
        <v>1863822</v>
      </c>
    </row>
    <row x14ac:dyDescent="0.25" r="162" customHeight="1" ht="18.75">
      <c r="A162" s="13">
        <v>34700</v>
      </c>
      <c r="B162" s="14">
        <v>42654</v>
      </c>
      <c r="C162" s="15">
        <v>66.452</v>
      </c>
      <c r="D162" s="16">
        <v>5.74</v>
      </c>
      <c r="E162" s="16">
        <v>7.48</v>
      </c>
      <c r="F162" s="16">
        <f>VLOOKUP($A162,[1]Data!$A$2:$L$873,3)</f>
      </c>
      <c r="G162" s="16">
        <f>VLOOKUP($A162,[1]Data!$A$2:$L$873,4)</f>
      </c>
      <c r="H162" s="16">
        <f>VLOOKUP($A162,[1]Data!$A$2:$L$873,5)</f>
      </c>
      <c r="I162" s="16">
        <f>VLOOKUP($A162,[1]Data!$A$2:$L$873,6)</f>
      </c>
      <c r="J162" s="16">
        <f>VLOOKUP($A162,[1]Data!$A$2:$L$873,7)</f>
      </c>
      <c r="K162" s="17">
        <v>63.65226</v>
      </c>
      <c r="L162" s="18">
        <v>1880572.3</v>
      </c>
    </row>
    <row x14ac:dyDescent="0.25" r="163" customHeight="1" ht="18.75">
      <c r="A163" s="13">
        <v>34790</v>
      </c>
      <c r="B163" s="14">
        <v>42660</v>
      </c>
      <c r="C163" s="15">
        <v>66.771</v>
      </c>
      <c r="D163" s="16">
        <v>5.6</v>
      </c>
      <c r="E163" s="16">
        <v>6.62</v>
      </c>
      <c r="F163" s="16">
        <f>VLOOKUP($A163,[1]Data!$A$2:$L$873,3)</f>
      </c>
      <c r="G163" s="16">
        <f>VLOOKUP($A163,[1]Data!$A$2:$L$873,4)</f>
      </c>
      <c r="H163" s="16">
        <f>VLOOKUP($A163,[1]Data!$A$2:$L$873,5)</f>
      </c>
      <c r="I163" s="16">
        <f>VLOOKUP($A163,[1]Data!$A$2:$L$873,6)</f>
      </c>
      <c r="J163" s="16">
        <f>VLOOKUP($A163,[1]Data!$A$2:$L$873,7)</f>
      </c>
      <c r="K163" s="17">
        <v>64.21481</v>
      </c>
      <c r="L163" s="18">
        <v>1895249.3</v>
      </c>
    </row>
    <row x14ac:dyDescent="0.25" r="164" customHeight="1" ht="18.75">
      <c r="A164" s="13">
        <v>34881</v>
      </c>
      <c r="B164" s="14">
        <v>42885</v>
      </c>
      <c r="C164" s="15">
        <v>67.1</v>
      </c>
      <c r="D164" s="16">
        <v>5.37</v>
      </c>
      <c r="E164" s="16">
        <v>6.32</v>
      </c>
      <c r="F164" s="16">
        <f>VLOOKUP($A164,[1]Data!$A$2:$L$873,3)</f>
      </c>
      <c r="G164" s="16">
        <f>VLOOKUP($A164,[1]Data!$A$2:$L$873,4)</f>
      </c>
      <c r="H164" s="16">
        <f>VLOOKUP($A164,[1]Data!$A$2:$L$873,5)</f>
      </c>
      <c r="I164" s="16">
        <f>VLOOKUP($A164,[1]Data!$A$2:$L$873,6)</f>
      </c>
      <c r="J164" s="16">
        <f>VLOOKUP($A164,[1]Data!$A$2:$L$873,7)</f>
      </c>
      <c r="K164" s="17">
        <v>64.49608</v>
      </c>
      <c r="L164" s="18">
        <v>1920781.3</v>
      </c>
    </row>
    <row x14ac:dyDescent="0.25" r="165" customHeight="1" ht="18.75">
      <c r="A165" s="13">
        <v>34973</v>
      </c>
      <c r="B165" s="14">
        <v>43044</v>
      </c>
      <c r="C165" s="15">
        <v>67.423</v>
      </c>
      <c r="D165" s="16">
        <v>5.26</v>
      </c>
      <c r="E165" s="16">
        <v>5.89</v>
      </c>
      <c r="F165" s="16">
        <f>VLOOKUP($A165,[1]Data!$A$2:$L$873,3)</f>
      </c>
      <c r="G165" s="16">
        <f>VLOOKUP($A165,[1]Data!$A$2:$L$873,4)</f>
      </c>
      <c r="H165" s="16">
        <f>VLOOKUP($A165,[1]Data!$A$2:$L$873,5)</f>
      </c>
      <c r="I165" s="16">
        <f>VLOOKUP($A165,[1]Data!$A$2:$L$873,6)</f>
      </c>
      <c r="J165" s="16">
        <f>VLOOKUP($A165,[1]Data!$A$2:$L$873,7)</f>
      </c>
      <c r="K165" s="17">
        <v>64.80548</v>
      </c>
      <c r="L165" s="18">
        <v>1943146.5</v>
      </c>
    </row>
    <row x14ac:dyDescent="0.25" r="166" customHeight="1" ht="18.75">
      <c r="A166" s="13">
        <v>35065</v>
      </c>
      <c r="B166" s="14">
        <v>43259</v>
      </c>
      <c r="C166" s="15">
        <v>67.747</v>
      </c>
      <c r="D166" s="16">
        <v>4.93</v>
      </c>
      <c r="E166" s="16">
        <v>5.91</v>
      </c>
      <c r="F166" s="16">
        <f>VLOOKUP($A166,[1]Data!$A$2:$L$873,3)</f>
      </c>
      <c r="G166" s="16">
        <f>VLOOKUP($A166,[1]Data!$A$2:$L$873,4)</f>
      </c>
      <c r="H166" s="16">
        <f>VLOOKUP($A166,[1]Data!$A$2:$L$873,5)</f>
      </c>
      <c r="I166" s="16">
        <f>VLOOKUP($A166,[1]Data!$A$2:$L$873,6)</f>
      </c>
      <c r="J166" s="16">
        <f>VLOOKUP($A166,[1]Data!$A$2:$L$873,7)</f>
      </c>
      <c r="K166" s="17">
        <v>65.39616</v>
      </c>
      <c r="L166" s="18">
        <v>1967117</v>
      </c>
    </row>
    <row x14ac:dyDescent="0.25" r="167" customHeight="1" ht="18.75">
      <c r="A167" s="13">
        <v>35156</v>
      </c>
      <c r="B167" s="14">
        <v>43856</v>
      </c>
      <c r="C167" s="15">
        <v>68.028</v>
      </c>
      <c r="D167" s="16">
        <v>5.02</v>
      </c>
      <c r="E167" s="16">
        <v>6.72</v>
      </c>
      <c r="F167" s="16">
        <f>VLOOKUP($A167,[1]Data!$A$2:$L$873,3)</f>
      </c>
      <c r="G167" s="16">
        <f>VLOOKUP($A167,[1]Data!$A$2:$L$873,4)</f>
      </c>
      <c r="H167" s="16">
        <f>VLOOKUP($A167,[1]Data!$A$2:$L$873,5)</f>
      </c>
      <c r="I167" s="16">
        <f>VLOOKUP($A167,[1]Data!$A$2:$L$873,6)</f>
      </c>
      <c r="J167" s="16">
        <f>VLOOKUP($A167,[1]Data!$A$2:$L$873,7)</f>
      </c>
      <c r="K167" s="17">
        <v>66.04308</v>
      </c>
      <c r="L167" s="18">
        <v>2008210</v>
      </c>
    </row>
    <row x14ac:dyDescent="0.25" r="168" customHeight="1" ht="18.75">
      <c r="A168" s="13">
        <v>35247</v>
      </c>
      <c r="B168" s="14">
        <v>44105</v>
      </c>
      <c r="C168" s="15">
        <v>68.251</v>
      </c>
      <c r="D168" s="16">
        <v>5.1</v>
      </c>
      <c r="E168" s="16">
        <v>6.78</v>
      </c>
      <c r="F168" s="16">
        <f>VLOOKUP($A168,[1]Data!$A$2:$L$873,3)</f>
      </c>
      <c r="G168" s="16">
        <f>VLOOKUP($A168,[1]Data!$A$2:$L$873,4)</f>
      </c>
      <c r="H168" s="16">
        <f>VLOOKUP($A168,[1]Data!$A$2:$L$873,5)</f>
      </c>
      <c r="I168" s="16">
        <f>VLOOKUP($A168,[1]Data!$A$2:$L$873,6)</f>
      </c>
      <c r="J168" s="16">
        <f>VLOOKUP($A168,[1]Data!$A$2:$L$873,7)</f>
      </c>
      <c r="K168" s="17">
        <v>66.39468000000001</v>
      </c>
      <c r="L168" s="18">
        <v>2032852</v>
      </c>
    </row>
    <row x14ac:dyDescent="0.25" r="169" customHeight="1" ht="18.75">
      <c r="A169" s="13">
        <v>35339</v>
      </c>
      <c r="B169" s="14">
        <v>44421</v>
      </c>
      <c r="C169" s="15">
        <v>68.615</v>
      </c>
      <c r="D169" s="16">
        <v>4.98</v>
      </c>
      <c r="E169" s="16">
        <v>6.34</v>
      </c>
      <c r="F169" s="16">
        <f>VLOOKUP($A169,[1]Data!$A$2:$L$873,3)</f>
      </c>
      <c r="G169" s="16">
        <f>VLOOKUP($A169,[1]Data!$A$2:$L$873,4)</f>
      </c>
      <c r="H169" s="16">
        <f>VLOOKUP($A169,[1]Data!$A$2:$L$873,5)</f>
      </c>
      <c r="I169" s="16">
        <f>VLOOKUP($A169,[1]Data!$A$2:$L$873,6)</f>
      </c>
      <c r="J169" s="16">
        <f>VLOOKUP($A169,[1]Data!$A$2:$L$873,7)</f>
      </c>
      <c r="K169" s="17">
        <v>66.87284</v>
      </c>
      <c r="L169" s="18">
        <v>2064942.8</v>
      </c>
    </row>
    <row x14ac:dyDescent="0.25" r="170" customHeight="1" ht="18.75">
      <c r="A170" s="13">
        <v>35431</v>
      </c>
      <c r="B170" s="14">
        <v>44590</v>
      </c>
      <c r="C170" s="15">
        <v>69.025</v>
      </c>
      <c r="D170" s="16">
        <v>5.06</v>
      </c>
      <c r="E170" s="16">
        <v>6.56</v>
      </c>
      <c r="F170" s="16">
        <f>VLOOKUP($A170,[1]Data!$A$2:$L$873,3)</f>
      </c>
      <c r="G170" s="16">
        <f>VLOOKUP($A170,[1]Data!$A$2:$L$873,4)</f>
      </c>
      <c r="H170" s="16">
        <f>VLOOKUP($A170,[1]Data!$A$2:$L$873,5)</f>
      </c>
      <c r="I170" s="16">
        <f>VLOOKUP($A170,[1]Data!$A$2:$L$873,6)</f>
      </c>
      <c r="J170" s="16">
        <f>VLOOKUP($A170,[1]Data!$A$2:$L$873,7)</f>
      </c>
      <c r="K170" s="17">
        <v>67.32288</v>
      </c>
      <c r="L170" s="18">
        <v>2090663.8</v>
      </c>
    </row>
    <row x14ac:dyDescent="0.25" r="171" customHeight="1" ht="18.75">
      <c r="A171" s="13">
        <v>35521</v>
      </c>
      <c r="B171" s="14">
        <v>45203</v>
      </c>
      <c r="C171" s="15">
        <v>69.162</v>
      </c>
      <c r="D171" s="16">
        <v>5.05</v>
      </c>
      <c r="E171" s="16">
        <v>6.7</v>
      </c>
      <c r="F171" s="16">
        <f>VLOOKUP($A171,[1]Data!$A$2:$L$873,3)</f>
      </c>
      <c r="G171" s="16">
        <f>VLOOKUP($A171,[1]Data!$A$2:$L$873,4)</f>
      </c>
      <c r="H171" s="16">
        <f>VLOOKUP($A171,[1]Data!$A$2:$L$873,5)</f>
      </c>
      <c r="I171" s="16">
        <f>VLOOKUP($A171,[1]Data!$A$2:$L$873,6)</f>
      </c>
      <c r="J171" s="16">
        <f>VLOOKUP($A171,[1]Data!$A$2:$L$873,7)</f>
      </c>
      <c r="K171" s="17">
        <v>67.59009</v>
      </c>
      <c r="L171" s="18">
        <v>2129706.3</v>
      </c>
    </row>
    <row x14ac:dyDescent="0.25" r="172" customHeight="1" ht="18.75">
      <c r="A172" s="13">
        <v>35612</v>
      </c>
      <c r="B172" s="14">
        <v>45616</v>
      </c>
      <c r="C172" s="15">
        <v>69.464</v>
      </c>
      <c r="D172" s="16">
        <v>5.05</v>
      </c>
      <c r="E172" s="16">
        <v>6.24</v>
      </c>
      <c r="F172" s="16">
        <f>VLOOKUP($A172,[1]Data!$A$2:$L$873,3)</f>
      </c>
      <c r="G172" s="16">
        <f>VLOOKUP($A172,[1]Data!$A$2:$L$873,4)</f>
      </c>
      <c r="H172" s="16">
        <f>VLOOKUP($A172,[1]Data!$A$2:$L$873,5)</f>
      </c>
      <c r="I172" s="16">
        <f>VLOOKUP($A172,[1]Data!$A$2:$L$873,6)</f>
      </c>
      <c r="J172" s="16">
        <f>VLOOKUP($A172,[1]Data!$A$2:$L$873,7)</f>
      </c>
      <c r="K172" s="17">
        <v>67.8573</v>
      </c>
      <c r="L172" s="18">
        <v>2165705.8</v>
      </c>
    </row>
    <row x14ac:dyDescent="0.25" r="173" customHeight="1" ht="18.75">
      <c r="A173" s="13">
        <v>35704</v>
      </c>
      <c r="B173" s="14">
        <v>45862</v>
      </c>
      <c r="C173" s="15">
        <v>69.695</v>
      </c>
      <c r="D173" s="16">
        <v>5.09</v>
      </c>
      <c r="E173" s="16">
        <v>5.91</v>
      </c>
      <c r="F173" s="16">
        <f>VLOOKUP($A173,[1]Data!$A$2:$L$873,3)</f>
      </c>
      <c r="G173" s="16">
        <f>VLOOKUP($A173,[1]Data!$A$2:$L$873,4)</f>
      </c>
      <c r="H173" s="16">
        <f>VLOOKUP($A173,[1]Data!$A$2:$L$873,5)</f>
      </c>
      <c r="I173" s="16">
        <f>VLOOKUP($A173,[1]Data!$A$2:$L$873,6)</f>
      </c>
      <c r="J173" s="16">
        <f>VLOOKUP($A173,[1]Data!$A$2:$L$873,7)</f>
      </c>
      <c r="K173" s="17">
        <v>68.12451</v>
      </c>
      <c r="L173" s="18">
        <v>2191476.8</v>
      </c>
    </row>
    <row x14ac:dyDescent="0.25" r="174" customHeight="1" ht="18.75">
      <c r="A174" s="13">
        <v>35796</v>
      </c>
      <c r="B174" s="14">
        <v>46204</v>
      </c>
      <c r="C174" s="15">
        <v>69.794</v>
      </c>
      <c r="D174" s="16">
        <v>5.05</v>
      </c>
      <c r="E174" s="16">
        <v>5.59</v>
      </c>
      <c r="F174" s="16">
        <f>VLOOKUP($A174,[1]Data!$A$2:$L$873,3)</f>
      </c>
      <c r="G174" s="16">
        <f>VLOOKUP($A174,[1]Data!$A$2:$L$873,4)</f>
      </c>
      <c r="H174" s="16">
        <f>VLOOKUP($A174,[1]Data!$A$2:$L$873,5)</f>
      </c>
      <c r="I174" s="16">
        <f>VLOOKUP($A174,[1]Data!$A$2:$L$873,6)</f>
      </c>
      <c r="J174" s="16">
        <f>VLOOKUP($A174,[1]Data!$A$2:$L$873,7)</f>
      </c>
      <c r="K174" s="17">
        <v>68.30733000000001</v>
      </c>
      <c r="L174" s="18">
        <v>2216620</v>
      </c>
    </row>
    <row x14ac:dyDescent="0.25" r="175" customHeight="1" ht="18.75">
      <c r="A175" s="13">
        <v>35886</v>
      </c>
      <c r="B175" s="14">
        <v>46504</v>
      </c>
      <c r="C175" s="15">
        <v>69.959</v>
      </c>
      <c r="D175" s="16">
        <v>4.98</v>
      </c>
      <c r="E175" s="16">
        <v>5.6</v>
      </c>
      <c r="F175" s="16">
        <f>VLOOKUP($A175,[1]Data!$A$2:$L$873,3)</f>
      </c>
      <c r="G175" s="16">
        <f>VLOOKUP($A175,[1]Data!$A$2:$L$873,4)</f>
      </c>
      <c r="H175" s="16">
        <f>VLOOKUP($A175,[1]Data!$A$2:$L$873,5)</f>
      </c>
      <c r="I175" s="16">
        <f>VLOOKUP($A175,[1]Data!$A$2:$L$873,6)</f>
      </c>
      <c r="J175" s="16">
        <f>VLOOKUP($A175,[1]Data!$A$2:$L$873,7)</f>
      </c>
      <c r="K175" s="17">
        <v>68.67299</v>
      </c>
      <c r="L175" s="18">
        <v>2242424.8</v>
      </c>
    </row>
    <row x14ac:dyDescent="0.25" r="176" customHeight="1" ht="18.75">
      <c r="A176" s="13">
        <v>35977</v>
      </c>
      <c r="B176" s="14">
        <v>46943</v>
      </c>
      <c r="C176" s="15">
        <v>70.255</v>
      </c>
      <c r="D176" s="16">
        <v>4.82</v>
      </c>
      <c r="E176" s="16">
        <v>5.2</v>
      </c>
      <c r="F176" s="16">
        <f>VLOOKUP($A176,[1]Data!$A$2:$L$873,3)</f>
      </c>
      <c r="G176" s="16">
        <f>VLOOKUP($A176,[1]Data!$A$2:$L$873,4)</f>
      </c>
      <c r="H176" s="16">
        <f>VLOOKUP($A176,[1]Data!$A$2:$L$873,5)</f>
      </c>
      <c r="I176" s="16">
        <f>VLOOKUP($A176,[1]Data!$A$2:$L$873,6)</f>
      </c>
      <c r="J176" s="16">
        <f>VLOOKUP($A176,[1]Data!$A$2:$L$873,7)</f>
      </c>
      <c r="K176" s="17">
        <v>68.9402</v>
      </c>
      <c r="L176" s="18">
        <v>2280274.3</v>
      </c>
    </row>
    <row x14ac:dyDescent="0.25" r="177" customHeight="1" ht="18.75">
      <c r="A177" s="13">
        <v>36069</v>
      </c>
      <c r="B177" s="14">
        <v>47555</v>
      </c>
      <c r="C177" s="15">
        <v>70.453</v>
      </c>
      <c r="D177" s="16">
        <v>4.25</v>
      </c>
      <c r="E177" s="16">
        <v>4.67</v>
      </c>
      <c r="F177" s="16">
        <f>VLOOKUP($A177,[1]Data!$A$2:$L$873,3)</f>
      </c>
      <c r="G177" s="16">
        <f>VLOOKUP($A177,[1]Data!$A$2:$L$873,4)</f>
      </c>
      <c r="H177" s="16">
        <f>VLOOKUP($A177,[1]Data!$A$2:$L$873,5)</f>
      </c>
      <c r="I177" s="16">
        <f>VLOOKUP($A177,[1]Data!$A$2:$L$873,6)</f>
      </c>
      <c r="J177" s="16">
        <f>VLOOKUP($A177,[1]Data!$A$2:$L$873,7)</f>
      </c>
      <c r="K177" s="17">
        <v>69.17928</v>
      </c>
      <c r="L177" s="18">
        <v>2323497.8</v>
      </c>
    </row>
    <row x14ac:dyDescent="0.25" r="178" customHeight="1" ht="18.75">
      <c r="A178" s="13">
        <v>36161</v>
      </c>
      <c r="B178" s="14">
        <v>47880</v>
      </c>
      <c r="C178" s="15">
        <v>70.682</v>
      </c>
      <c r="D178" s="16">
        <v>4.41</v>
      </c>
      <c r="E178" s="16">
        <v>4.98</v>
      </c>
      <c r="F178" s="16">
        <f>VLOOKUP($A178,[1]Data!$A$2:$L$873,3)</f>
      </c>
      <c r="G178" s="16">
        <f>VLOOKUP($A178,[1]Data!$A$2:$L$873,4)</f>
      </c>
      <c r="H178" s="16">
        <f>VLOOKUP($A178,[1]Data!$A$2:$L$873,5)</f>
      </c>
      <c r="I178" s="16">
        <f>VLOOKUP($A178,[1]Data!$A$2:$L$873,6)</f>
      </c>
      <c r="J178" s="16">
        <f>VLOOKUP($A178,[1]Data!$A$2:$L$873,7)</f>
      </c>
      <c r="K178" s="17">
        <v>69.4465</v>
      </c>
      <c r="L178" s="18">
        <v>2352920.5</v>
      </c>
    </row>
    <row x14ac:dyDescent="0.25" r="179" customHeight="1" ht="18.75">
      <c r="A179" s="13">
        <v>36251</v>
      </c>
      <c r="B179" s="14">
        <v>48148</v>
      </c>
      <c r="C179" s="15">
        <v>70.949</v>
      </c>
      <c r="D179" s="16">
        <v>4.45</v>
      </c>
      <c r="E179" s="16">
        <v>5.54</v>
      </c>
      <c r="F179" s="16">
        <f>VLOOKUP($A179,[1]Data!$A$2:$L$873,3)</f>
      </c>
      <c r="G179" s="16">
        <f>VLOOKUP($A179,[1]Data!$A$2:$L$873,4)</f>
      </c>
      <c r="H179" s="16">
        <f>VLOOKUP($A179,[1]Data!$A$2:$L$873,5)</f>
      </c>
      <c r="I179" s="16">
        <f>VLOOKUP($A179,[1]Data!$A$2:$L$873,6)</f>
      </c>
      <c r="J179" s="16">
        <f>VLOOKUP($A179,[1]Data!$A$2:$L$873,7)</f>
      </c>
      <c r="K179" s="17">
        <v>70.12155</v>
      </c>
      <c r="L179" s="18">
        <v>2381552.5</v>
      </c>
    </row>
    <row x14ac:dyDescent="0.25" r="180" customHeight="1" ht="18.75">
      <c r="A180" s="13">
        <v>36342</v>
      </c>
      <c r="B180" s="14">
        <v>48632</v>
      </c>
      <c r="C180" s="15">
        <v>71.2</v>
      </c>
      <c r="D180" s="16">
        <v>4.65</v>
      </c>
      <c r="E180" s="16">
        <v>5.88</v>
      </c>
      <c r="F180" s="16">
        <f>VLOOKUP($A180,[1]Data!$A$2:$L$873,3)</f>
      </c>
      <c r="G180" s="16">
        <f>VLOOKUP($A180,[1]Data!$A$2:$L$873,4)</f>
      </c>
      <c r="H180" s="16">
        <f>VLOOKUP($A180,[1]Data!$A$2:$L$873,5)</f>
      </c>
      <c r="I180" s="14">
        <f>VLOOKUP($A180,[1]Data!$A$2:$L$873,6)</f>
      </c>
      <c r="J180" s="16">
        <f>VLOOKUP($A180,[1]Data!$A$2:$L$873,7)</f>
      </c>
      <c r="K180" s="17">
        <v>70.55753</v>
      </c>
      <c r="L180" s="18">
        <v>2421656.5</v>
      </c>
    </row>
    <row x14ac:dyDescent="0.25" r="181" customHeight="1" ht="18.75">
      <c r="A181" s="13">
        <v>36434</v>
      </c>
      <c r="B181" s="14">
        <v>49281</v>
      </c>
      <c r="C181" s="15">
        <v>71.595</v>
      </c>
      <c r="D181" s="16">
        <v>5.04</v>
      </c>
      <c r="E181" s="16">
        <v>6.14</v>
      </c>
      <c r="F181" s="16">
        <f>VLOOKUP($A181,[1]Data!$A$2:$L$873,3)</f>
      </c>
      <c r="G181" s="14">
        <f>VLOOKUP($A181,[1]Data!$A$2:$L$873,4)</f>
      </c>
      <c r="H181" s="16">
        <f>VLOOKUP($A181,[1]Data!$A$2:$L$873,5)</f>
      </c>
      <c r="I181" s="16">
        <f>VLOOKUP($A181,[1]Data!$A$2:$L$873,6)</f>
      </c>
      <c r="J181" s="16">
        <f>VLOOKUP($A181,[1]Data!$A$2:$L$873,7)</f>
      </c>
      <c r="K181" s="17">
        <v>70.9935</v>
      </c>
      <c r="L181" s="18">
        <v>2475042.3</v>
      </c>
    </row>
    <row x14ac:dyDescent="0.25" r="182" customHeight="1" ht="18.75">
      <c r="A182" s="13">
        <v>36526</v>
      </c>
      <c r="B182" s="14">
        <v>49335</v>
      </c>
      <c r="C182" s="15">
        <v>72.071</v>
      </c>
      <c r="D182" s="16">
        <v>5.52</v>
      </c>
      <c r="E182" s="16">
        <v>6.48</v>
      </c>
      <c r="F182" s="16">
        <f>VLOOKUP($A182,[1]Data!$A$2:$L$873,3)</f>
      </c>
      <c r="G182" s="16">
        <f>VLOOKUP($A182,[1]Data!$A$2:$L$873,4)</f>
      </c>
      <c r="H182" s="16">
        <f>VLOOKUP($A182,[1]Data!$A$2:$L$873,5)</f>
      </c>
      <c r="I182" s="16">
        <f>VLOOKUP($A182,[1]Data!$A$2:$L$873,6)</f>
      </c>
      <c r="J182" s="16">
        <f>VLOOKUP($A182,[1]Data!$A$2:$L$873,7)</f>
      </c>
      <c r="K182" s="17">
        <v>71.69669</v>
      </c>
      <c r="L182" s="18">
        <v>2500544.8</v>
      </c>
    </row>
    <row x14ac:dyDescent="0.25" r="183" customHeight="1" ht="18.75">
      <c r="A183" s="13">
        <v>36617</v>
      </c>
      <c r="B183" s="14">
        <v>50109</v>
      </c>
      <c r="C183" s="15">
        <v>72.52</v>
      </c>
      <c r="D183" s="16">
        <v>5.71</v>
      </c>
      <c r="E183" s="16">
        <v>6.18</v>
      </c>
      <c r="F183" s="16">
        <f>VLOOKUP($A183,[1]Data!$A$2:$L$873,3)</f>
      </c>
      <c r="G183" s="16">
        <f>VLOOKUP($A183,[1]Data!$A$2:$L$873,4)</f>
      </c>
      <c r="H183" s="16">
        <f>VLOOKUP($A183,[1]Data!$A$2:$L$873,5)</f>
      </c>
      <c r="I183" s="16">
        <f>VLOOKUP($A183,[1]Data!$A$2:$L$873,6)</f>
      </c>
      <c r="J183" s="16">
        <f>VLOOKUP($A183,[1]Data!$A$2:$L$873,7)</f>
      </c>
      <c r="K183" s="17">
        <v>72.45612</v>
      </c>
      <c r="L183" s="18">
        <v>2561930</v>
      </c>
    </row>
    <row x14ac:dyDescent="0.25" r="184" customHeight="1" ht="18.75">
      <c r="A184" s="13">
        <v>36708</v>
      </c>
      <c r="B184" s="14">
        <v>50024</v>
      </c>
      <c r="C184" s="15">
        <v>72.944</v>
      </c>
      <c r="D184" s="16">
        <v>6.02</v>
      </c>
      <c r="E184" s="16">
        <v>5.89</v>
      </c>
      <c r="F184" s="16">
        <f>VLOOKUP($A184,[1]Data!$A$2:$L$873,3)</f>
      </c>
      <c r="G184" s="16">
        <f>VLOOKUP($A184,[1]Data!$A$2:$L$873,4)</f>
      </c>
      <c r="H184" s="16">
        <f>VLOOKUP($A184,[1]Data!$A$2:$L$873,5)</f>
      </c>
      <c r="I184" s="16">
        <f>VLOOKUP($A184,[1]Data!$A$2:$L$873,6)</f>
      </c>
      <c r="J184" s="16">
        <f>VLOOKUP($A184,[1]Data!$A$2:$L$873,7)</f>
      </c>
      <c r="K184" s="17">
        <v>73.03274</v>
      </c>
      <c r="L184" s="18">
        <v>2579541.3</v>
      </c>
    </row>
    <row x14ac:dyDescent="0.25" r="185" customHeight="1" ht="18.75">
      <c r="A185" s="13">
        <v>36800</v>
      </c>
      <c r="B185" s="14">
        <v>50190</v>
      </c>
      <c r="C185" s="15">
        <v>73.337</v>
      </c>
      <c r="D185" s="16">
        <v>6.02</v>
      </c>
      <c r="E185" s="16">
        <v>5.57</v>
      </c>
      <c r="F185" s="16">
        <f>VLOOKUP($A185,[1]Data!$A$2:$L$873,3)</f>
      </c>
      <c r="G185" s="16">
        <f>VLOOKUP($A185,[1]Data!$A$2:$L$873,4)</f>
      </c>
      <c r="H185" s="16">
        <f>VLOOKUP($A185,[1]Data!$A$2:$L$873,5)</f>
      </c>
      <c r="I185" s="16">
        <f>VLOOKUP($A185,[1]Data!$A$2:$L$873,6)</f>
      </c>
      <c r="J185" s="16">
        <f>VLOOKUP($A185,[1]Data!$A$2:$L$873,7)</f>
      </c>
      <c r="K185" s="17">
        <v>73.42652</v>
      </c>
      <c r="L185" s="18">
        <v>2608936</v>
      </c>
    </row>
    <row x14ac:dyDescent="0.25" r="186" customHeight="1" ht="18.75">
      <c r="A186" s="13">
        <v>36892</v>
      </c>
      <c r="B186" s="14">
        <v>49911</v>
      </c>
      <c r="C186" s="15">
        <v>73.822</v>
      </c>
      <c r="D186" s="16">
        <v>4.82</v>
      </c>
      <c r="E186" s="16">
        <v>5.05</v>
      </c>
      <c r="F186" s="16">
        <f>VLOOKUP($A186,[1]Data!$A$2:$L$873,3)</f>
      </c>
      <c r="G186" s="16">
        <f>VLOOKUP($A186,[1]Data!$A$2:$L$873,4)</f>
      </c>
      <c r="H186" s="16">
        <f>VLOOKUP($A186,[1]Data!$A$2:$L$873,5)</f>
      </c>
      <c r="I186" s="16">
        <f>VLOOKUP($A186,[1]Data!$A$2:$L$873,6)</f>
      </c>
      <c r="J186" s="16">
        <f>VLOOKUP($A186,[1]Data!$A$2:$L$873,7)</f>
      </c>
      <c r="K186" s="17">
        <v>74.12971</v>
      </c>
      <c r="L186" s="18">
        <v>2617557.8</v>
      </c>
    </row>
    <row x14ac:dyDescent="0.25" r="187" customHeight="1" ht="18.75">
      <c r="A187" s="13">
        <v>36982</v>
      </c>
      <c r="B187" s="14">
        <v>50105</v>
      </c>
      <c r="C187" s="15">
        <v>74.266</v>
      </c>
      <c r="D187" s="16">
        <v>3.66</v>
      </c>
      <c r="E187" s="16">
        <v>5.27</v>
      </c>
      <c r="F187" s="16">
        <f>VLOOKUP($A187,[1]Data!$A$2:$L$873,3)</f>
      </c>
      <c r="G187" s="16">
        <f>VLOOKUP($A187,[1]Data!$A$2:$L$873,4)</f>
      </c>
      <c r="H187" s="16">
        <f>VLOOKUP($A187,[1]Data!$A$2:$L$873,5)</f>
      </c>
      <c r="I187" s="16">
        <f>VLOOKUP($A187,[1]Data!$A$2:$L$873,6)</f>
      </c>
      <c r="J187" s="16">
        <f>VLOOKUP($A187,[1]Data!$A$2:$L$873,7)</f>
      </c>
      <c r="K187" s="17">
        <v>74.90321</v>
      </c>
      <c r="L187" s="18">
        <v>2649750</v>
      </c>
    </row>
    <row x14ac:dyDescent="0.25" r="188" customHeight="1" ht="18.75">
      <c r="A188" s="13">
        <v>37073</v>
      </c>
      <c r="B188" s="14">
        <v>49774</v>
      </c>
      <c r="C188" s="15">
        <v>74.558</v>
      </c>
      <c r="D188" s="16">
        <v>3.17</v>
      </c>
      <c r="E188" s="16">
        <v>4.98</v>
      </c>
      <c r="F188" s="16">
        <f>VLOOKUP($A188,[1]Data!$A$2:$L$873,3)</f>
      </c>
      <c r="G188" s="16">
        <f>VLOOKUP($A188,[1]Data!$A$2:$L$873,4)</f>
      </c>
      <c r="H188" s="16">
        <f>VLOOKUP($A188,[1]Data!$A$2:$L$873,5)</f>
      </c>
      <c r="I188" s="16">
        <f>VLOOKUP($A188,[1]Data!$A$2:$L$873,6)</f>
      </c>
      <c r="J188" s="16">
        <f>VLOOKUP($A188,[1]Data!$A$2:$L$873,7)</f>
      </c>
      <c r="K188" s="17">
        <v>75.00166</v>
      </c>
      <c r="L188" s="18">
        <v>2649505</v>
      </c>
    </row>
    <row x14ac:dyDescent="0.25" r="189" customHeight="1" ht="18.75">
      <c r="A189" s="13">
        <v>37165</v>
      </c>
      <c r="B189" s="14">
        <v>49783</v>
      </c>
      <c r="C189" s="15">
        <v>74.792</v>
      </c>
      <c r="D189" s="16">
        <v>1.91</v>
      </c>
      <c r="E189" s="16">
        <v>4.77</v>
      </c>
      <c r="F189" s="16">
        <f>VLOOKUP($A189,[1]Data!$A$2:$L$873,3)</f>
      </c>
      <c r="G189" s="16">
        <f>VLOOKUP($A189,[1]Data!$A$2:$L$873,4)</f>
      </c>
      <c r="H189" s="16">
        <f>VLOOKUP($A189,[1]Data!$A$2:$L$873,5)</f>
      </c>
      <c r="I189" s="16">
        <f>VLOOKUP($A189,[1]Data!$A$2:$L$873,6)</f>
      </c>
      <c r="J189" s="16">
        <f>VLOOKUP($A189,[1]Data!$A$2:$L$873,7)</f>
      </c>
      <c r="K189" s="17">
        <v>74.7907</v>
      </c>
      <c r="L189" s="18">
        <v>2665116.3</v>
      </c>
    </row>
    <row x14ac:dyDescent="0.25" r="190" customHeight="1" ht="18.75">
      <c r="A190" s="13">
        <v>37257</v>
      </c>
      <c r="B190" s="14">
        <v>50091</v>
      </c>
      <c r="C190" s="15">
        <v>75.027</v>
      </c>
      <c r="D190" s="16">
        <v>1.72</v>
      </c>
      <c r="E190" s="16">
        <v>5.08</v>
      </c>
      <c r="F190" s="16">
        <f>VLOOKUP($A190,[1]Data!$A$2:$L$873,3)</f>
      </c>
      <c r="G190" s="16">
        <f>VLOOKUP($A190,[1]Data!$A$2:$L$873,4)</f>
      </c>
      <c r="H190" s="16">
        <f>VLOOKUP($A190,[1]Data!$A$2:$L$873,5)</f>
      </c>
      <c r="I190" s="16">
        <f>VLOOKUP($A190,[1]Data!$A$2:$L$873,6)</f>
      </c>
      <c r="J190" s="16">
        <f>VLOOKUP($A190,[1]Data!$A$2:$L$873,7)</f>
      </c>
      <c r="K190" s="17">
        <v>75.05790999999998</v>
      </c>
      <c r="L190" s="18">
        <v>2695875</v>
      </c>
    </row>
    <row x14ac:dyDescent="0.25" r="191" customHeight="1" ht="18.75">
      <c r="A191" s="13">
        <v>37347</v>
      </c>
      <c r="B191" s="14">
        <v>50286</v>
      </c>
      <c r="C191" s="15">
        <v>75.289</v>
      </c>
      <c r="D191" s="16">
        <v>1.71</v>
      </c>
      <c r="E191" s="16">
        <v>5.1</v>
      </c>
      <c r="F191" s="16">
        <f>VLOOKUP($A191,[1]Data!$A$2:$L$873,3)</f>
      </c>
      <c r="G191" s="16">
        <f>VLOOKUP($A191,[1]Data!$A$2:$L$873,4)</f>
      </c>
      <c r="H191" s="16">
        <f>VLOOKUP($A191,[1]Data!$A$2:$L$873,5)</f>
      </c>
      <c r="I191" s="16">
        <f>VLOOKUP($A191,[1]Data!$A$2:$L$873,6)</f>
      </c>
      <c r="J191" s="16">
        <f>VLOOKUP($A191,[1]Data!$A$2:$L$873,7)</f>
      </c>
      <c r="K191" s="17">
        <v>75.8736</v>
      </c>
      <c r="L191" s="18">
        <v>2721865</v>
      </c>
    </row>
    <row x14ac:dyDescent="0.25" r="192" customHeight="1" ht="18.75">
      <c r="A192" s="13">
        <v>37438</v>
      </c>
      <c r="B192" s="14">
        <v>50362</v>
      </c>
      <c r="C192" s="15">
        <v>75.65</v>
      </c>
      <c r="D192" s="16">
        <v>1.64</v>
      </c>
      <c r="E192" s="16">
        <v>4.26</v>
      </c>
      <c r="F192" s="16">
        <f>VLOOKUP($A192,[1]Data!$A$2:$L$873,3)</f>
      </c>
      <c r="G192" s="16">
        <f>VLOOKUP($A192,[1]Data!$A$2:$L$873,4)</f>
      </c>
      <c r="H192" s="16">
        <f>VLOOKUP($A192,[1]Data!$A$2:$L$873,5)</f>
      </c>
      <c r="I192" s="16">
        <f>VLOOKUP($A192,[1]Data!$A$2:$L$873,6)</f>
      </c>
      <c r="J192" s="16">
        <f>VLOOKUP($A192,[1]Data!$A$2:$L$873,7)</f>
      </c>
      <c r="K192" s="17">
        <v>76.19707</v>
      </c>
      <c r="L192" s="18">
        <v>2746010</v>
      </c>
    </row>
    <row x14ac:dyDescent="0.25" r="193" customHeight="1" ht="18.75">
      <c r="A193" s="13">
        <v>37530</v>
      </c>
      <c r="B193" s="14">
        <v>50302</v>
      </c>
      <c r="C193" s="15">
        <v>76.089</v>
      </c>
      <c r="D193" s="16">
        <v>1.33</v>
      </c>
      <c r="E193" s="16">
        <v>4.01</v>
      </c>
      <c r="F193" s="16">
        <f>VLOOKUP($A193,[1]Data!$A$2:$L$873,3)</f>
      </c>
      <c r="G193" s="16">
        <f>VLOOKUP($A193,[1]Data!$A$2:$L$873,4)</f>
      </c>
      <c r="H193" s="16">
        <f>VLOOKUP($A193,[1]Data!$A$2:$L$873,5)</f>
      </c>
      <c r="I193" s="16">
        <f>VLOOKUP($A193,[1]Data!$A$2:$L$873,6)</f>
      </c>
      <c r="J193" s="16">
        <f>VLOOKUP($A193,[1]Data!$A$2:$L$873,7)</f>
      </c>
      <c r="K193" s="17">
        <v>76.43615</v>
      </c>
      <c r="L193" s="18">
        <v>2765358.3</v>
      </c>
    </row>
    <row x14ac:dyDescent="0.25" r="194" customHeight="1" ht="18.75">
      <c r="A194" s="13">
        <v>37622</v>
      </c>
      <c r="B194" s="14">
        <v>50462</v>
      </c>
      <c r="C194" s="15">
        <v>76.461</v>
      </c>
      <c r="D194" s="16">
        <v>1.16</v>
      </c>
      <c r="E194" s="16">
        <v>3.92</v>
      </c>
      <c r="F194" s="16">
        <f>VLOOKUP($A194,[1]Data!$A$2:$L$873,3)</f>
      </c>
      <c r="G194" s="16">
        <f>VLOOKUP($A194,[1]Data!$A$2:$L$873,4)</f>
      </c>
      <c r="H194" s="16">
        <f>VLOOKUP($A194,[1]Data!$A$2:$L$873,5)</f>
      </c>
      <c r="I194" s="16">
        <f>VLOOKUP($A194,[1]Data!$A$2:$L$873,6)</f>
      </c>
      <c r="J194" s="16">
        <f>VLOOKUP($A194,[1]Data!$A$2:$L$873,7)</f>
      </c>
      <c r="K194" s="17">
        <v>77.20965</v>
      </c>
      <c r="L194" s="18">
        <v>2793532.3</v>
      </c>
    </row>
    <row x14ac:dyDescent="0.25" r="195" customHeight="1" ht="18.75">
      <c r="A195" s="13">
        <v>37712</v>
      </c>
      <c r="B195" s="14">
        <v>50796</v>
      </c>
      <c r="C195" s="15">
        <v>76.73</v>
      </c>
      <c r="D195" s="16">
        <v>1.04</v>
      </c>
      <c r="E195" s="16">
        <v>3.62</v>
      </c>
      <c r="F195" s="16">
        <f>VLOOKUP($A195,[1]Data!$A$2:$L$873,3)</f>
      </c>
      <c r="G195" s="16">
        <f>VLOOKUP($A195,[1]Data!$A$2:$L$873,4)</f>
      </c>
      <c r="H195" s="16">
        <f>VLOOKUP($A195,[1]Data!$A$2:$L$873,5)</f>
      </c>
      <c r="I195" s="16">
        <f>VLOOKUP($A195,[1]Data!$A$2:$L$873,6)</f>
      </c>
      <c r="J195" s="16">
        <f>VLOOKUP($A195,[1]Data!$A$2:$L$873,7)</f>
      </c>
      <c r="K195" s="17">
        <v>77.49093</v>
      </c>
      <c r="L195" s="18">
        <v>2828191.5</v>
      </c>
    </row>
    <row x14ac:dyDescent="0.25" r="196" customHeight="1" ht="18.75">
      <c r="A196" s="13">
        <v>37803</v>
      </c>
      <c r="B196" s="14">
        <v>51512</v>
      </c>
      <c r="C196" s="15">
        <v>77.169</v>
      </c>
      <c r="D196" s="16">
        <v>0.93</v>
      </c>
      <c r="E196" s="16">
        <v>4.23</v>
      </c>
      <c r="F196" s="16">
        <f>VLOOKUP($A196,[1]Data!$A$2:$L$873,3)</f>
      </c>
      <c r="G196" s="16">
        <f>VLOOKUP($A196,[1]Data!$A$2:$L$873,4)</f>
      </c>
      <c r="H196" s="16">
        <f>VLOOKUP($A196,[1]Data!$A$2:$L$873,5)</f>
      </c>
      <c r="I196" s="16">
        <f>VLOOKUP($A196,[1]Data!$A$2:$L$873,6)</f>
      </c>
      <c r="J196" s="16">
        <f>VLOOKUP($A196,[1]Data!$A$2:$L$873,7)</f>
      </c>
      <c r="K196" s="17">
        <v>77.87064000000002</v>
      </c>
      <c r="L196" s="18">
        <v>2891667.3</v>
      </c>
    </row>
    <row x14ac:dyDescent="0.25" r="197" customHeight="1" ht="18.75">
      <c r="A197" s="13">
        <v>37895</v>
      </c>
      <c r="B197" s="14">
        <v>51986</v>
      </c>
      <c r="C197" s="15">
        <v>77.639</v>
      </c>
      <c r="D197" s="16">
        <v>0.92</v>
      </c>
      <c r="E197" s="16">
        <v>4.29</v>
      </c>
      <c r="F197" s="16">
        <f>VLOOKUP($A197,[1]Data!$A$2:$L$873,3)</f>
      </c>
      <c r="G197" s="16">
        <f>VLOOKUP($A197,[1]Data!$A$2:$L$873,4)</f>
      </c>
      <c r="H197" s="16">
        <f>VLOOKUP($A197,[1]Data!$A$2:$L$873,5)</f>
      </c>
      <c r="I197" s="16">
        <f>VLOOKUP($A197,[1]Data!$A$2:$L$873,6)</f>
      </c>
      <c r="J197" s="16">
        <f>VLOOKUP($A197,[1]Data!$A$2:$L$873,7)</f>
      </c>
      <c r="K197" s="17">
        <v>77.88471</v>
      </c>
      <c r="L197" s="18">
        <v>2943058.5</v>
      </c>
    </row>
    <row x14ac:dyDescent="0.25" r="198" customHeight="1" ht="18.75">
      <c r="A198" s="13">
        <v>37987</v>
      </c>
      <c r="B198" s="14">
        <v>52179</v>
      </c>
      <c r="C198" s="15">
        <v>78.193</v>
      </c>
      <c r="D198" s="16">
        <v>0.92</v>
      </c>
      <c r="E198" s="16">
        <v>4.02</v>
      </c>
      <c r="F198" s="16">
        <f>VLOOKUP($A198,[1]Data!$A$2:$L$873,3)</f>
      </c>
      <c r="G198" s="16">
        <f>VLOOKUP($A198,[1]Data!$A$2:$L$873,4)</f>
      </c>
      <c r="H198" s="16">
        <f>VLOOKUP($A198,[1]Data!$A$2:$L$873,5)</f>
      </c>
      <c r="I198" s="16">
        <f>VLOOKUP($A198,[1]Data!$A$2:$L$873,6)</f>
      </c>
      <c r="J198" s="16">
        <f>VLOOKUP($A198,[1]Data!$A$2:$L$873,7)</f>
      </c>
      <c r="K198" s="17">
        <v>78.58789</v>
      </c>
      <c r="L198" s="18">
        <v>2980861.8</v>
      </c>
    </row>
    <row x14ac:dyDescent="0.25" r="199" customHeight="1" ht="18.75">
      <c r="A199" s="13">
        <v>38078</v>
      </c>
      <c r="B199" s="14">
        <v>52469</v>
      </c>
      <c r="C199" s="15">
        <v>78.824</v>
      </c>
      <c r="D199" s="16">
        <v>1.08</v>
      </c>
      <c r="E199" s="16">
        <v>4.6</v>
      </c>
      <c r="F199" s="16">
        <f>VLOOKUP($A199,[1]Data!$A$2:$L$873,3)</f>
      </c>
      <c r="G199" s="16">
        <f>VLOOKUP($A199,[1]Data!$A$2:$L$873,4)</f>
      </c>
      <c r="H199" s="16">
        <f>VLOOKUP($A199,[1]Data!$A$2:$L$873,5)</f>
      </c>
      <c r="I199" s="16">
        <f>VLOOKUP($A199,[1]Data!$A$2:$L$873,6)</f>
      </c>
      <c r="J199" s="16">
        <f>VLOOKUP($A199,[1]Data!$A$2:$L$873,7)</f>
      </c>
      <c r="K199" s="17">
        <v>79.71299</v>
      </c>
      <c r="L199" s="18">
        <v>3028203.8</v>
      </c>
    </row>
    <row x14ac:dyDescent="0.25" r="200" customHeight="1" ht="18.75">
      <c r="A200" s="13">
        <v>38169</v>
      </c>
      <c r="B200" s="14">
        <v>52835</v>
      </c>
      <c r="C200" s="15">
        <v>79.324</v>
      </c>
      <c r="D200" s="16">
        <v>1.49</v>
      </c>
      <c r="E200" s="16">
        <v>4.3</v>
      </c>
      <c r="F200" s="16">
        <f>VLOOKUP($A200,[1]Data!$A$2:$L$873,3)</f>
      </c>
      <c r="G200" s="16">
        <f>VLOOKUP($A200,[1]Data!$A$2:$L$873,4)</f>
      </c>
      <c r="H200" s="16">
        <f>VLOOKUP($A200,[1]Data!$A$2:$L$873,5)</f>
      </c>
      <c r="I200" s="16">
        <f>VLOOKUP($A200,[1]Data!$A$2:$L$873,6)</f>
      </c>
      <c r="J200" s="16">
        <f>VLOOKUP($A200,[1]Data!$A$2:$L$873,7)</f>
      </c>
      <c r="K200" s="17">
        <v>79.99426</v>
      </c>
      <c r="L200" s="18">
        <v>3076326.8</v>
      </c>
    </row>
    <row x14ac:dyDescent="0.25" r="201" customHeight="1" ht="18.75">
      <c r="A201" s="13">
        <v>38261</v>
      </c>
      <c r="B201" s="14">
        <v>53242</v>
      </c>
      <c r="C201" s="15">
        <v>79.939</v>
      </c>
      <c r="D201" s="16">
        <v>2.01</v>
      </c>
      <c r="E201" s="16">
        <v>4.17</v>
      </c>
      <c r="F201" s="16">
        <f>VLOOKUP($A201,[1]Data!$A$2:$L$873,3)</f>
      </c>
      <c r="G201" s="16">
        <f>VLOOKUP($A201,[1]Data!$A$2:$L$873,4)</f>
      </c>
      <c r="H201" s="16">
        <f>VLOOKUP($A201,[1]Data!$A$2:$L$873,5)</f>
      </c>
      <c r="I201" s="16">
        <f>VLOOKUP($A201,[1]Data!$A$2:$L$873,6)</f>
      </c>
      <c r="J201" s="16">
        <f>VLOOKUP($A201,[1]Data!$A$2:$L$873,7)</f>
      </c>
      <c r="K201" s="17">
        <v>80.47243</v>
      </c>
      <c r="L201" s="18">
        <v>3131803.5</v>
      </c>
    </row>
    <row x14ac:dyDescent="0.25" r="202" customHeight="1" ht="18.75">
      <c r="A202" s="13">
        <v>38353</v>
      </c>
      <c r="B202" s="14">
        <v>53719</v>
      </c>
      <c r="C202" s="15">
        <v>80.578</v>
      </c>
      <c r="D202" s="16">
        <v>2.54</v>
      </c>
      <c r="E202" s="16">
        <v>4.3</v>
      </c>
      <c r="F202" s="16">
        <f>VLOOKUP($A202,[1]Data!$A$2:$L$873,3)</f>
      </c>
      <c r="G202" s="16">
        <f>VLOOKUP($A202,[1]Data!$A$2:$L$873,4)</f>
      </c>
      <c r="H202" s="16">
        <f>VLOOKUP($A202,[1]Data!$A$2:$L$873,5)</f>
      </c>
      <c r="I202" s="16">
        <f>VLOOKUP($A202,[1]Data!$A$2:$L$873,6)</f>
      </c>
      <c r="J202" s="16">
        <f>VLOOKUP($A202,[1]Data!$A$2:$L$873,7)</f>
      </c>
      <c r="K202" s="17">
        <v>80.97872</v>
      </c>
      <c r="L202" s="18">
        <v>3191821.5</v>
      </c>
    </row>
    <row x14ac:dyDescent="0.25" r="203" customHeight="1" ht="18.75">
      <c r="A203" s="13">
        <v>38443</v>
      </c>
      <c r="B203" s="14">
        <v>53868</v>
      </c>
      <c r="C203" s="15">
        <v>81.158</v>
      </c>
      <c r="D203" s="16">
        <v>2.86</v>
      </c>
      <c r="E203" s="16">
        <v>4.16</v>
      </c>
      <c r="F203" s="16">
        <f>VLOOKUP($A203,[1]Data!$A$2:$L$873,3)</f>
      </c>
      <c r="G203" s="16">
        <f>VLOOKUP($A203,[1]Data!$A$2:$L$873,4)</f>
      </c>
      <c r="H203" s="16">
        <f>VLOOKUP($A203,[1]Data!$A$2:$L$873,5)</f>
      </c>
      <c r="I203" s="16">
        <f>VLOOKUP($A203,[1]Data!$A$2:$L$873,6)</f>
      </c>
      <c r="J203" s="16">
        <f>VLOOKUP($A203,[1]Data!$A$2:$L$873,7)</f>
      </c>
      <c r="K203" s="17">
        <v>82.06161999999999</v>
      </c>
      <c r="L203" s="18">
        <v>3230664</v>
      </c>
    </row>
    <row x14ac:dyDescent="0.25" r="204" customHeight="1" ht="18.75">
      <c r="A204" s="13">
        <v>38534</v>
      </c>
      <c r="B204" s="14">
        <v>54153</v>
      </c>
      <c r="C204" s="15">
        <v>81.898</v>
      </c>
      <c r="D204" s="16">
        <v>3.36</v>
      </c>
      <c r="E204" s="16">
        <v>4.21</v>
      </c>
      <c r="F204" s="16">
        <f>VLOOKUP($A204,[1]Data!$A$2:$L$873,3)</f>
      </c>
      <c r="G204" s="16">
        <f>VLOOKUP($A204,[1]Data!$A$2:$L$873,4)</f>
      </c>
      <c r="H204" s="16">
        <f>VLOOKUP($A204,[1]Data!$A$2:$L$873,5)</f>
      </c>
      <c r="I204" s="16">
        <f>VLOOKUP($A204,[1]Data!$A$2:$L$873,6)</f>
      </c>
      <c r="J204" s="16">
        <f>VLOOKUP($A204,[1]Data!$A$2:$L$873,7)</f>
      </c>
      <c r="K204" s="17">
        <v>83.06014</v>
      </c>
      <c r="L204" s="18">
        <v>3285660.5</v>
      </c>
    </row>
    <row x14ac:dyDescent="0.25" r="205" customHeight="1" ht="18.75">
      <c r="A205" s="13">
        <v>38626</v>
      </c>
      <c r="B205" s="14">
        <v>54317</v>
      </c>
      <c r="C205" s="15">
        <v>82.571</v>
      </c>
      <c r="D205" s="16">
        <v>3.83</v>
      </c>
      <c r="E205" s="16">
        <v>4.49</v>
      </c>
      <c r="F205" s="16">
        <f>VLOOKUP($A205,[1]Data!$A$2:$L$873,3)</f>
      </c>
      <c r="G205" s="16">
        <f>VLOOKUP($A205,[1]Data!$A$2:$L$873,4)</f>
      </c>
      <c r="H205" s="16">
        <f>VLOOKUP($A205,[1]Data!$A$2:$L$873,5)</f>
      </c>
      <c r="I205" s="16">
        <f>VLOOKUP($A205,[1]Data!$A$2:$L$873,6)</f>
      </c>
      <c r="J205" s="16">
        <f>VLOOKUP($A205,[1]Data!$A$2:$L$873,7)</f>
      </c>
      <c r="K205" s="17">
        <v>83.48206</v>
      </c>
      <c r="L205" s="18">
        <v>3331051</v>
      </c>
    </row>
    <row x14ac:dyDescent="0.25" r="206" customHeight="1" ht="18.75">
      <c r="A206" s="13">
        <v>38718</v>
      </c>
      <c r="B206" s="14">
        <v>54927</v>
      </c>
      <c r="C206" s="15">
        <v>83.156</v>
      </c>
      <c r="D206" s="16">
        <v>4.39</v>
      </c>
      <c r="E206" s="16">
        <v>4.57</v>
      </c>
      <c r="F206" s="16">
        <f>VLOOKUP($A206,[1]Data!$A$2:$L$873,3)</f>
      </c>
      <c r="G206" s="16">
        <f>VLOOKUP($A206,[1]Data!$A$2:$L$873,4)</f>
      </c>
      <c r="H206" s="16">
        <f>VLOOKUP($A206,[1]Data!$A$2:$L$873,5)</f>
      </c>
      <c r="I206" s="16">
        <f>VLOOKUP($A206,[1]Data!$A$2:$L$873,6)</f>
      </c>
      <c r="J206" s="16">
        <f>VLOOKUP($A206,[1]Data!$A$2:$L$873,7)</f>
      </c>
      <c r="K206" s="17">
        <v>83.9321</v>
      </c>
      <c r="L206" s="18">
        <v>3399790</v>
      </c>
    </row>
    <row x14ac:dyDescent="0.25" r="207" customHeight="1" ht="18.75">
      <c r="A207" s="13">
        <v>38808</v>
      </c>
      <c r="B207" s="14">
        <v>54945</v>
      </c>
      <c r="C207" s="15">
        <v>83.882</v>
      </c>
      <c r="D207" s="16">
        <v>4.7</v>
      </c>
      <c r="E207" s="16">
        <v>5.07</v>
      </c>
      <c r="F207" s="16">
        <f>VLOOKUP($A207,[1]Data!$A$2:$L$873,3)</f>
      </c>
      <c r="G207" s="16">
        <f>VLOOKUP($A207,[1]Data!$A$2:$L$873,4)</f>
      </c>
      <c r="H207" s="16">
        <f>VLOOKUP($A207,[1]Data!$A$2:$L$873,5)</f>
      </c>
      <c r="I207" s="16">
        <f>VLOOKUP($A207,[1]Data!$A$2:$L$873,6)</f>
      </c>
      <c r="J207" s="16">
        <f>VLOOKUP($A207,[1]Data!$A$2:$L$873,7)</f>
      </c>
      <c r="K207" s="17">
        <v>85.35252</v>
      </c>
      <c r="L207" s="18">
        <v>3438356</v>
      </c>
    </row>
    <row x14ac:dyDescent="0.25" r="208" customHeight="1" ht="18.75">
      <c r="A208" s="13">
        <v>38899</v>
      </c>
      <c r="B208" s="14">
        <v>54886</v>
      </c>
      <c r="C208" s="15">
        <v>84.468</v>
      </c>
      <c r="D208" s="16">
        <v>4.91</v>
      </c>
      <c r="E208" s="16">
        <v>4.9</v>
      </c>
      <c r="F208" s="16">
        <f>VLOOKUP($A208,[1]Data!$A$2:$L$873,3)</f>
      </c>
      <c r="G208" s="16">
        <f>VLOOKUP($A208,[1]Data!$A$2:$L$873,4)</f>
      </c>
      <c r="H208" s="16">
        <f>VLOOKUP($A208,[1]Data!$A$2:$L$873,5)</f>
      </c>
      <c r="I208" s="16">
        <f>VLOOKUP($A208,[1]Data!$A$2:$L$873,6)</f>
      </c>
      <c r="J208" s="16">
        <f>VLOOKUP($A208,[1]Data!$A$2:$L$873,7)</f>
      </c>
      <c r="K208" s="17">
        <v>85.8307</v>
      </c>
      <c r="L208" s="18">
        <v>3467547</v>
      </c>
    </row>
    <row x14ac:dyDescent="0.25" r="209" customHeight="1" ht="18.75">
      <c r="A209" s="13">
        <v>38991</v>
      </c>
      <c r="B209" s="14">
        <v>55216</v>
      </c>
      <c r="C209" s="15">
        <v>84.77</v>
      </c>
      <c r="D209" s="16">
        <v>4.9</v>
      </c>
      <c r="E209" s="16">
        <v>4.63</v>
      </c>
      <c r="F209" s="16">
        <f>VLOOKUP($A209,[1]Data!$A$2:$L$873,3)</f>
      </c>
      <c r="G209" s="16">
        <f>VLOOKUP($A209,[1]Data!$A$2:$L$873,4)</f>
      </c>
      <c r="H209" s="16">
        <f>VLOOKUP($A209,[1]Data!$A$2:$L$873,5)</f>
      </c>
      <c r="I209" s="16">
        <f>VLOOKUP($A209,[1]Data!$A$2:$L$873,6)</f>
      </c>
      <c r="J209" s="16">
        <f>VLOOKUP($A209,[1]Data!$A$2:$L$873,7)</f>
      </c>
      <c r="K209" s="17">
        <v>85.09938000000001</v>
      </c>
      <c r="L209" s="18">
        <v>3509890</v>
      </c>
    </row>
    <row x14ac:dyDescent="0.25" r="210" customHeight="1" ht="18.75">
      <c r="A210" s="13">
        <v>39083</v>
      </c>
      <c r="B210" s="14">
        <v>55260</v>
      </c>
      <c r="C210" s="15">
        <v>85.576</v>
      </c>
      <c r="D210" s="16">
        <v>4.98</v>
      </c>
      <c r="E210" s="16">
        <v>4.68</v>
      </c>
      <c r="F210" s="16">
        <f>VLOOKUP($A210,[1]Data!$A$2:$L$873,3)</f>
      </c>
      <c r="G210" s="16">
        <f>VLOOKUP($A210,[1]Data!$A$2:$L$873,4)</f>
      </c>
      <c r="H210" s="16">
        <f>VLOOKUP($A210,[1]Data!$A$2:$L$873,5)</f>
      </c>
      <c r="I210" s="16">
        <f>VLOOKUP($A210,[1]Data!$A$2:$L$873,6)</f>
      </c>
      <c r="J210" s="16">
        <f>VLOOKUP($A210,[1]Data!$A$2:$L$873,7)</f>
      </c>
      <c r="K210" s="17">
        <v>85.96669</v>
      </c>
      <c r="L210" s="18">
        <v>3553912.8</v>
      </c>
    </row>
    <row x14ac:dyDescent="0.25" r="211" customHeight="1" ht="18.75">
      <c r="A211" s="13">
        <v>39173</v>
      </c>
      <c r="B211" s="14">
        <v>55474</v>
      </c>
      <c r="C211" s="15">
        <v>86.171</v>
      </c>
      <c r="D211" s="16">
        <v>4.74</v>
      </c>
      <c r="E211" s="16">
        <v>4.85</v>
      </c>
      <c r="F211" s="16">
        <f>VLOOKUP($A211,[1]Data!$A$2:$L$873,3)</f>
      </c>
      <c r="G211" s="16">
        <f>VLOOKUP($A211,[1]Data!$A$2:$L$873,4)</f>
      </c>
      <c r="H211" s="16">
        <f>VLOOKUP($A211,[1]Data!$A$2:$L$873,5)</f>
      </c>
      <c r="I211" s="16">
        <f>VLOOKUP($A211,[1]Data!$A$2:$L$873,6)</f>
      </c>
      <c r="J211" s="16">
        <f>VLOOKUP($A211,[1]Data!$A$2:$L$873,7)</f>
      </c>
      <c r="K211" s="17">
        <v>87.61495</v>
      </c>
      <c r="L211" s="18">
        <v>3600520.5</v>
      </c>
    </row>
    <row x14ac:dyDescent="0.25" r="212" customHeight="1" ht="18.75">
      <c r="A212" s="13">
        <v>39264</v>
      </c>
      <c r="B212" s="14">
        <v>55649</v>
      </c>
      <c r="C212" s="15">
        <v>86.642</v>
      </c>
      <c r="D212" s="16">
        <v>4.3</v>
      </c>
      <c r="E212" s="16">
        <v>4.73</v>
      </c>
      <c r="F212" s="16">
        <f>VLOOKUP($A212,[1]Data!$A$2:$L$873,3)</f>
      </c>
      <c r="G212" s="16">
        <f>VLOOKUP($A212,[1]Data!$A$2:$L$873,4)</f>
      </c>
      <c r="H212" s="16">
        <f>VLOOKUP($A212,[1]Data!$A$2:$L$873,5)</f>
      </c>
      <c r="I212" s="16">
        <f>VLOOKUP($A212,[1]Data!$A$2:$L$873,6)</f>
      </c>
      <c r="J212" s="16">
        <f>VLOOKUP($A212,[1]Data!$A$2:$L$873,7)</f>
      </c>
      <c r="K212" s="17">
        <v>87.8567</v>
      </c>
      <c r="L212" s="18">
        <v>3641029.3</v>
      </c>
    </row>
    <row x14ac:dyDescent="0.25" r="213" customHeight="1" ht="18.75">
      <c r="A213" s="13">
        <v>39356</v>
      </c>
      <c r="B213" s="14">
        <v>55857</v>
      </c>
      <c r="C213" s="15">
        <v>86.993</v>
      </c>
      <c r="D213" s="16">
        <v>3.39</v>
      </c>
      <c r="E213" s="16">
        <v>4.26</v>
      </c>
      <c r="F213" s="16">
        <f>VLOOKUP($A213,[1]Data!$A$2:$L$873,3)</f>
      </c>
      <c r="G213" s="16">
        <f>VLOOKUP($A213,[1]Data!$A$2:$L$873,4)</f>
      </c>
      <c r="H213" s="16">
        <f>VLOOKUP($A213,[1]Data!$A$2:$L$873,5)</f>
      </c>
      <c r="I213" s="16">
        <f>VLOOKUP($A213,[1]Data!$A$2:$L$873,6)</f>
      </c>
      <c r="J213" s="16">
        <f>VLOOKUP($A213,[1]Data!$A$2:$L$873,7)</f>
      </c>
      <c r="K213" s="17">
        <v>88.48156</v>
      </c>
      <c r="L213" s="18">
        <v>3678764.5</v>
      </c>
    </row>
    <row x14ac:dyDescent="0.25" r="214" customHeight="1" ht="18.75">
      <c r="A214" s="13">
        <v>39448</v>
      </c>
      <c r="B214" s="14">
        <v>55497</v>
      </c>
      <c r="C214" s="15">
        <v>87.315</v>
      </c>
      <c r="D214" s="16">
        <v>2.04</v>
      </c>
      <c r="E214" s="16">
        <v>3.66</v>
      </c>
      <c r="F214" s="16">
        <f>VLOOKUP($A214,[1]Data!$A$2:$L$873,3)</f>
      </c>
      <c r="G214" s="16">
        <f>VLOOKUP($A214,[1]Data!$A$2:$L$873,4)</f>
      </c>
      <c r="H214" s="16">
        <f>VLOOKUP($A214,[1]Data!$A$2:$L$873,5)</f>
      </c>
      <c r="I214" s="16">
        <f>VLOOKUP($A214,[1]Data!$A$2:$L$873,6)</f>
      </c>
      <c r="J214" s="16">
        <f>VLOOKUP($A214,[1]Data!$A$2:$L$873,7)</f>
      </c>
      <c r="K214" s="17">
        <v>89.4874</v>
      </c>
      <c r="L214" s="18">
        <v>3676634.5</v>
      </c>
    </row>
    <row x14ac:dyDescent="0.25" r="215" customHeight="1" ht="18.75">
      <c r="A215" s="13">
        <v>39539</v>
      </c>
      <c r="B215" s="14">
        <v>55705</v>
      </c>
      <c r="C215" s="15">
        <v>87.738</v>
      </c>
      <c r="D215" s="16">
        <v>1.63</v>
      </c>
      <c r="E215" s="16">
        <v>3.89</v>
      </c>
      <c r="F215" s="16">
        <f>VLOOKUP($A215,[1]Data!$A$2:$L$873,3)</f>
      </c>
      <c r="G215" s="16">
        <f>VLOOKUP($A215,[1]Data!$A$2:$L$873,4)</f>
      </c>
      <c r="H215" s="16">
        <f>VLOOKUP($A215,[1]Data!$A$2:$L$873,5)</f>
      </c>
      <c r="I215" s="16">
        <f>VLOOKUP($A215,[1]Data!$A$2:$L$873,6)</f>
      </c>
      <c r="J215" s="16">
        <f>VLOOKUP($A215,[1]Data!$A$2:$L$873,7)</f>
      </c>
      <c r="K215" s="17">
        <v>91.45195</v>
      </c>
      <c r="L215" s="18">
        <v>3716425.3</v>
      </c>
    </row>
    <row x14ac:dyDescent="0.25" r="216" customHeight="1" ht="18.75">
      <c r="A216" s="13">
        <v>39630</v>
      </c>
      <c r="B216" s="14">
        <v>55278</v>
      </c>
      <c r="C216" s="15">
        <v>88.399</v>
      </c>
      <c r="D216" s="16">
        <v>1.49</v>
      </c>
      <c r="E216" s="16">
        <v>3.86</v>
      </c>
      <c r="F216" s="16">
        <f>VLOOKUP($A216,[1]Data!$A$2:$L$873,3)</f>
      </c>
      <c r="G216" s="16">
        <f>VLOOKUP($A216,[1]Data!$A$2:$L$873,4)</f>
      </c>
      <c r="H216" s="16">
        <f>VLOOKUP($A216,[1]Data!$A$2:$L$873,5)</f>
      </c>
      <c r="I216" s="16">
        <f>VLOOKUP($A216,[1]Data!$A$2:$L$873,6)</f>
      </c>
      <c r="J216" s="16">
        <f>VLOOKUP($A216,[1]Data!$A$2:$L$873,7)</f>
      </c>
      <c r="K216" s="17">
        <v>92.51559</v>
      </c>
      <c r="L216" s="18">
        <v>3724749.8</v>
      </c>
    </row>
    <row x14ac:dyDescent="0.25" r="217" customHeight="1" ht="18.75">
      <c r="A217" s="13">
        <v>39722</v>
      </c>
      <c r="B217" s="14">
        <v>53941</v>
      </c>
      <c r="C217" s="15">
        <v>88.613</v>
      </c>
      <c r="D217" s="16">
        <v>0.3</v>
      </c>
      <c r="E217" s="16">
        <v>3.25</v>
      </c>
      <c r="F217" s="16">
        <f>VLOOKUP($A217,[1]Data!$A$2:$L$873,3)</f>
      </c>
      <c r="G217" s="16">
        <f>VLOOKUP($A217,[1]Data!$A$2:$L$873,4)</f>
      </c>
      <c r="H217" s="16">
        <f>VLOOKUP($A217,[1]Data!$A$2:$L$873,5)</f>
      </c>
      <c r="I217" s="16">
        <f>VLOOKUP($A217,[1]Data!$A$2:$L$873,6)</f>
      </c>
      <c r="J217" s="16">
        <f>VLOOKUP($A217,[1]Data!$A$2:$L$873,7)</f>
      </c>
      <c r="K217" s="17">
        <v>89.89876</v>
      </c>
      <c r="L217" s="18">
        <v>3652052.3</v>
      </c>
    </row>
    <row x14ac:dyDescent="0.25" r="218" customHeight="1" ht="18.75">
      <c r="A218" s="13">
        <v>39814</v>
      </c>
      <c r="B218" s="14">
        <v>53221</v>
      </c>
      <c r="C218" s="15">
        <v>88.543</v>
      </c>
      <c r="D218" s="16">
        <v>0.21</v>
      </c>
      <c r="E218" s="16">
        <v>2.74</v>
      </c>
      <c r="F218" s="16">
        <f>VLOOKUP($A218,[1]Data!$A$2:$L$873,3)</f>
      </c>
      <c r="G218" s="16">
        <f>VLOOKUP($A218,[1]Data!$A$2:$L$873,4)</f>
      </c>
      <c r="H218" s="16">
        <f>VLOOKUP($A218,[1]Data!$A$2:$L$873,5)</f>
      </c>
      <c r="I218" s="16">
        <f>VLOOKUP($A218,[1]Data!$A$2:$L$873,6)</f>
      </c>
      <c r="J218" s="16">
        <f>VLOOKUP($A218,[1]Data!$A$2:$L$873,7)</f>
      </c>
      <c r="K218" s="17">
        <v>89.45139</v>
      </c>
      <c r="L218" s="18">
        <v>3607725.5</v>
      </c>
    </row>
    <row x14ac:dyDescent="0.25" r="219" customHeight="1" ht="18.75">
      <c r="A219" s="13">
        <v>39904</v>
      </c>
      <c r="B219" s="14">
        <v>53017</v>
      </c>
      <c r="C219" s="15">
        <v>88.396</v>
      </c>
      <c r="D219" s="16">
        <v>0.17</v>
      </c>
      <c r="E219" s="16">
        <v>3.31</v>
      </c>
      <c r="F219" s="16">
        <f>VLOOKUP($A219,[1]Data!$A$2:$L$873,3)</f>
      </c>
      <c r="G219" s="16">
        <f>VLOOKUP($A219,[1]Data!$A$2:$L$873,4)</f>
      </c>
      <c r="H219" s="16">
        <f>VLOOKUP($A219,[1]Data!$A$2:$L$873,5)</f>
      </c>
      <c r="I219" s="16">
        <f>VLOOKUP($A219,[1]Data!$A$2:$L$873,6)</f>
      </c>
      <c r="J219" s="16">
        <f>VLOOKUP($A219,[1]Data!$A$2:$L$873,7)</f>
      </c>
      <c r="K219" s="17">
        <v>90.39984</v>
      </c>
      <c r="L219" s="18">
        <v>3595309</v>
      </c>
    </row>
    <row x14ac:dyDescent="0.25" r="220" customHeight="1" ht="18.75">
      <c r="A220" s="13">
        <v>39995</v>
      </c>
      <c r="B220" s="14">
        <v>53081</v>
      </c>
      <c r="C220" s="15">
        <v>88.501</v>
      </c>
      <c r="D220" s="16">
        <v>0.16</v>
      </c>
      <c r="E220" s="16">
        <v>3.52</v>
      </c>
      <c r="F220" s="16">
        <f>VLOOKUP($A220,[1]Data!$A$2:$L$873,3)</f>
      </c>
      <c r="G220" s="16">
        <f>VLOOKUP($A220,[1]Data!$A$2:$L$873,4)</f>
      </c>
      <c r="H220" s="16">
        <f>VLOOKUP($A220,[1]Data!$A$2:$L$873,5)</f>
      </c>
      <c r="I220" s="16">
        <f>VLOOKUP($A220,[1]Data!$A$2:$L$873,6)</f>
      </c>
      <c r="J220" s="16">
        <f>VLOOKUP($A220,[1]Data!$A$2:$L$873,7)</f>
      </c>
      <c r="K220" s="17">
        <v>91.01373</v>
      </c>
      <c r="L220" s="18">
        <v>3612220.5</v>
      </c>
    </row>
    <row x14ac:dyDescent="0.25" r="221" customHeight="1" ht="18.75">
      <c r="A221" s="13">
        <v>40087</v>
      </c>
      <c r="B221" s="14">
        <v>53531</v>
      </c>
      <c r="C221" s="15">
        <v>88.781</v>
      </c>
      <c r="D221" s="16">
        <v>0.06</v>
      </c>
      <c r="E221" s="16">
        <v>3.46</v>
      </c>
      <c r="F221" s="16">
        <f>VLOOKUP($A221,[1]Data!$A$2:$L$873,3)</f>
      </c>
      <c r="G221" s="16">
        <f>VLOOKUP($A221,[1]Data!$A$2:$L$873,4)</f>
      </c>
      <c r="H221" s="16">
        <f>VLOOKUP($A221,[1]Data!$A$2:$L$873,5)</f>
      </c>
      <c r="I221" s="16">
        <f>VLOOKUP($A221,[1]Data!$A$2:$L$873,6)</f>
      </c>
      <c r="J221" s="16">
        <f>VLOOKUP($A221,[1]Data!$A$2:$L$873,7)</f>
      </c>
      <c r="K221" s="17">
        <v>91.19683</v>
      </c>
      <c r="L221" s="18">
        <v>3662812.3</v>
      </c>
    </row>
    <row x14ac:dyDescent="0.25" r="222" customHeight="1" ht="18.75">
      <c r="A222" s="13">
        <v>40179</v>
      </c>
      <c r="B222" s="14">
        <v>53683</v>
      </c>
      <c r="C222" s="15">
        <v>89.036</v>
      </c>
      <c r="D222" s="16">
        <v>0.11</v>
      </c>
      <c r="E222" s="16">
        <v>3.72</v>
      </c>
      <c r="F222" s="16">
        <f>VLOOKUP($A222,[1]Data!$A$2:$L$873,3)</f>
      </c>
      <c r="G222" s="16">
        <f>VLOOKUP($A222,[1]Data!$A$2:$L$873,4)</f>
      </c>
      <c r="H222" s="16">
        <f>VLOOKUP($A222,[1]Data!$A$2:$L$873,5)</f>
      </c>
      <c r="I222" s="16">
        <f>VLOOKUP($A222,[1]Data!$A$2:$L$873,6)</f>
      </c>
      <c r="J222" s="16">
        <f>VLOOKUP($A222,[1]Data!$A$2:$L$873,7)</f>
      </c>
      <c r="K222" s="17">
        <v>91.56291</v>
      </c>
      <c r="L222" s="18">
        <v>3691152.5</v>
      </c>
    </row>
    <row x14ac:dyDescent="0.25" r="223" customHeight="1" ht="18.75">
      <c r="A223" s="13">
        <v>40269</v>
      </c>
      <c r="B223" s="14">
        <v>54100</v>
      </c>
      <c r="C223" s="15">
        <v>89.471</v>
      </c>
      <c r="D223" s="16">
        <v>0.15</v>
      </c>
      <c r="E223" s="16">
        <v>3.49</v>
      </c>
      <c r="F223" s="16">
        <f>VLOOKUP($A223,[1]Data!$A$2:$L$873,3)</f>
      </c>
      <c r="G223" s="16">
        <f>VLOOKUP($A223,[1]Data!$A$2:$L$873,4)</f>
      </c>
      <c r="H223" s="16">
        <f>VLOOKUP($A223,[1]Data!$A$2:$L$873,5)</f>
      </c>
      <c r="I223" s="16">
        <f>VLOOKUP($A223,[1]Data!$A$2:$L$873,6)</f>
      </c>
      <c r="J223" s="16">
        <f>VLOOKUP($A223,[1]Data!$A$2:$L$873,7)</f>
      </c>
      <c r="K223" s="17">
        <v>91.9979</v>
      </c>
      <c r="L223" s="18">
        <v>3745048.3</v>
      </c>
    </row>
    <row x14ac:dyDescent="0.25" r="224" customHeight="1" ht="18.75">
      <c r="A224" s="13">
        <v>40360</v>
      </c>
      <c r="B224" s="14">
        <v>54401</v>
      </c>
      <c r="C224" s="15">
        <v>89.743</v>
      </c>
      <c r="D224" s="16">
        <v>0.16</v>
      </c>
      <c r="E224" s="16">
        <v>2.79</v>
      </c>
      <c r="F224" s="16">
        <f>VLOOKUP($A224,[1]Data!$A$2:$L$873,3)</f>
      </c>
      <c r="G224" s="16">
        <f>VLOOKUP($A224,[1]Data!$A$2:$L$873,4)</f>
      </c>
      <c r="H224" s="16">
        <f>VLOOKUP($A224,[1]Data!$A$2:$L$873,5)</f>
      </c>
      <c r="I224" s="16">
        <f>VLOOKUP($A224,[1]Data!$A$2:$L$873,6)</f>
      </c>
      <c r="J224" s="16">
        <f>VLOOKUP($A224,[1]Data!$A$2:$L$873,7)</f>
      </c>
      <c r="K224" s="17">
        <v>92.08369</v>
      </c>
      <c r="L224" s="18">
        <v>3785401.8</v>
      </c>
    </row>
    <row x14ac:dyDescent="0.25" r="225" customHeight="1" ht="18.75">
      <c r="A225" s="13">
        <v>40452</v>
      </c>
      <c r="B225" s="14">
        <v>54569</v>
      </c>
      <c r="C225" s="15">
        <v>90.264</v>
      </c>
      <c r="D225" s="16">
        <v>0.14</v>
      </c>
      <c r="E225" s="16">
        <v>2.86</v>
      </c>
      <c r="F225" s="16">
        <f>VLOOKUP($A225,[1]Data!$A$2:$L$873,3)</f>
      </c>
      <c r="G225" s="16">
        <f>VLOOKUP($A225,[1]Data!$A$2:$L$873,4)</f>
      </c>
      <c r="H225" s="16">
        <f>VLOOKUP($A225,[1]Data!$A$2:$L$873,5)</f>
      </c>
      <c r="I225" s="16">
        <f>VLOOKUP($A225,[1]Data!$A$2:$L$873,6)</f>
      </c>
      <c r="J225" s="16">
        <f>VLOOKUP($A225,[1]Data!$A$2:$L$873,7)</f>
      </c>
      <c r="K225" s="17">
        <v>92.35526</v>
      </c>
      <c r="L225" s="18">
        <v>3827368.5</v>
      </c>
    </row>
    <row x14ac:dyDescent="0.25" r="226" customHeight="1" ht="18.75">
      <c r="A226" s="13">
        <v>40544</v>
      </c>
      <c r="B226" s="14">
        <v>54341</v>
      </c>
      <c r="C226" s="15">
        <v>90.726</v>
      </c>
      <c r="D226" s="16">
        <v>0.13</v>
      </c>
      <c r="E226" s="16">
        <v>3.46</v>
      </c>
      <c r="F226" s="16">
        <f>VLOOKUP($A226,[1]Data!$A$2:$L$873,3)</f>
      </c>
      <c r="G226" s="16">
        <f>VLOOKUP($A226,[1]Data!$A$2:$L$873,4)</f>
      </c>
      <c r="H226" s="16">
        <f>VLOOKUP($A226,[1]Data!$A$2:$L$873,5)</f>
      </c>
      <c r="I226" s="16">
        <f>VLOOKUP($A226,[1]Data!$A$2:$L$873,6)</f>
      </c>
      <c r="J226" s="16">
        <f>VLOOKUP($A226,[1]Data!$A$2:$L$873,7)</f>
      </c>
      <c r="K226" s="17">
        <v>93.52339</v>
      </c>
      <c r="L226" s="18">
        <v>3837862</v>
      </c>
    </row>
    <row x14ac:dyDescent="0.25" r="227" customHeight="1" ht="18.75">
      <c r="A227" s="13">
        <v>40634</v>
      </c>
      <c r="B227" s="14">
        <v>54610</v>
      </c>
      <c r="C227" s="15">
        <v>91.326</v>
      </c>
      <c r="D227" s="16">
        <v>0.05</v>
      </c>
      <c r="E227" s="16">
        <v>3.21</v>
      </c>
      <c r="F227" s="16">
        <f>VLOOKUP($A227,[1]Data!$A$2:$L$873,3)</f>
      </c>
      <c r="G227" s="16">
        <f>VLOOKUP($A227,[1]Data!$A$2:$L$873,4)</f>
      </c>
      <c r="H227" s="16">
        <f>VLOOKUP($A227,[1]Data!$A$2:$L$873,5)</f>
      </c>
      <c r="I227" s="16">
        <f>VLOOKUP($A227,[1]Data!$A$2:$L$873,6)</f>
      </c>
      <c r="J227" s="16">
        <f>VLOOKUP($A227,[1]Data!$A$2:$L$873,7)</f>
      </c>
      <c r="K227" s="17">
        <v>95.15379</v>
      </c>
      <c r="L227" s="18">
        <v>3889384.8</v>
      </c>
    </row>
    <row x14ac:dyDescent="0.25" r="228" customHeight="1" ht="18.75">
      <c r="A228" s="13">
        <v>40725</v>
      </c>
      <c r="B228" s="14">
        <v>54482</v>
      </c>
      <c r="C228" s="15">
        <v>91.876</v>
      </c>
      <c r="D228" s="16">
        <v>0.02</v>
      </c>
      <c r="E228" s="16">
        <v>2.43</v>
      </c>
      <c r="F228" s="16">
        <f>VLOOKUP($A228,[1]Data!$A$2:$L$873,3)</f>
      </c>
      <c r="G228" s="16">
        <f>VLOOKUP($A228,[1]Data!$A$2:$L$873,4)</f>
      </c>
      <c r="H228" s="16">
        <f>VLOOKUP($A228,[1]Data!$A$2:$L$873,5)</f>
      </c>
      <c r="I228" s="16">
        <f>VLOOKUP($A228,[1]Data!$A$2:$L$873,6)</f>
      </c>
      <c r="J228" s="16">
        <f>VLOOKUP($A228,[1]Data!$A$2:$L$873,7)</f>
      </c>
      <c r="K228" s="17">
        <v>95.54251</v>
      </c>
      <c r="L228" s="18">
        <v>3911920</v>
      </c>
    </row>
    <row x14ac:dyDescent="0.25" r="229" customHeight="1" ht="18.75">
      <c r="A229" s="13">
        <v>40817</v>
      </c>
      <c r="B229" s="14">
        <v>54979</v>
      </c>
      <c r="C229" s="15">
        <v>91.985</v>
      </c>
      <c r="D229" s="16">
        <v>0.01</v>
      </c>
      <c r="E229" s="16">
        <v>2.05</v>
      </c>
      <c r="F229" s="16">
        <f>VLOOKUP($A229,[1]Data!$A$2:$L$873,3)</f>
      </c>
      <c r="G229" s="16">
        <f>VLOOKUP($A229,[1]Data!$A$2:$L$873,4)</f>
      </c>
      <c r="H229" s="16">
        <f>VLOOKUP($A229,[1]Data!$A$2:$L$873,5)</f>
      </c>
      <c r="I229" s="16">
        <f>VLOOKUP($A229,[1]Data!$A$2:$L$873,6)</f>
      </c>
      <c r="J229" s="16">
        <f>VLOOKUP($A229,[1]Data!$A$2:$L$873,7)</f>
      </c>
      <c r="K229" s="17">
        <v>95.39724</v>
      </c>
      <c r="L229" s="18">
        <v>3960564.8</v>
      </c>
    </row>
    <row x14ac:dyDescent="0.25" r="230" customHeight="1" ht="18.75">
      <c r="A230" s="13">
        <v>40909</v>
      </c>
      <c r="B230" s="14">
        <v>55342</v>
      </c>
      <c r="C230" s="15">
        <v>92.525</v>
      </c>
      <c r="D230" s="16">
        <v>0.07</v>
      </c>
      <c r="E230" s="16">
        <v>2.04</v>
      </c>
      <c r="F230" s="16">
        <f>VLOOKUP($A230,[1]Data!$A$2:$L$873,3)</f>
      </c>
      <c r="G230" s="16">
        <f>VLOOKUP($A230,[1]Data!$A$2:$L$873,4)</f>
      </c>
      <c r="H230" s="16">
        <f>VLOOKUP($A230,[1]Data!$A$2:$L$873,5)</f>
      </c>
      <c r="I230" s="16">
        <f>VLOOKUP($A230,[1]Data!$A$2:$L$873,6)</f>
      </c>
      <c r="J230" s="16">
        <f>VLOOKUP($A230,[1]Data!$A$2:$L$873,7)</f>
      </c>
      <c r="K230" s="17">
        <v>96.15625</v>
      </c>
      <c r="L230" s="18">
        <v>4017201.3</v>
      </c>
    </row>
    <row x14ac:dyDescent="0.25" r="231" customHeight="1" ht="18.75">
      <c r="A231" s="13">
        <v>41000</v>
      </c>
      <c r="B231" s="14">
        <v>55490</v>
      </c>
      <c r="C231" s="15">
        <v>92.907</v>
      </c>
      <c r="D231" s="16">
        <v>0.09</v>
      </c>
      <c r="E231" s="16">
        <v>1.82</v>
      </c>
      <c r="F231" s="16">
        <f>VLOOKUP($A231,[1]Data!$A$2:$L$873,3)</f>
      </c>
      <c r="G231" s="16">
        <f>VLOOKUP($A231,[1]Data!$A$2:$L$873,4)</f>
      </c>
      <c r="H231" s="16">
        <f>VLOOKUP($A231,[1]Data!$A$2:$L$873,5)</f>
      </c>
      <c r="I231" s="16">
        <f>VLOOKUP($A231,[1]Data!$A$2:$L$873,6)</f>
      </c>
      <c r="J231" s="16">
        <f>VLOOKUP($A231,[1]Data!$A$2:$L$873,7)</f>
      </c>
      <c r="K231" s="17">
        <v>96.95197</v>
      </c>
      <c r="L231" s="18">
        <v>4051778.8</v>
      </c>
    </row>
    <row x14ac:dyDescent="0.25" r="232" customHeight="1" ht="18.75">
      <c r="A232" s="13">
        <v>41091</v>
      </c>
      <c r="B232" s="14">
        <v>55454</v>
      </c>
      <c r="C232" s="15">
        <v>93.417</v>
      </c>
      <c r="D232" s="16">
        <v>0.1</v>
      </c>
      <c r="E232" s="16">
        <v>1.64</v>
      </c>
      <c r="F232" s="16">
        <f>VLOOKUP($A232,[1]Data!$A$2:$L$873,3)</f>
      </c>
      <c r="G232" s="16">
        <f>VLOOKUP($A232,[1]Data!$A$2:$L$873,4)</f>
      </c>
      <c r="H232" s="16">
        <f>VLOOKUP($A232,[1]Data!$A$2:$L$873,5)</f>
      </c>
      <c r="I232" s="16">
        <f>VLOOKUP($A232,[1]Data!$A$2:$L$873,6)</f>
      </c>
      <c r="J232" s="16">
        <f>VLOOKUP($A232,[1]Data!$A$2:$L$873,7)</f>
      </c>
      <c r="K232" s="17">
        <v>97.16462</v>
      </c>
      <c r="L232" s="18">
        <v>4079885.3</v>
      </c>
    </row>
    <row x14ac:dyDescent="0.25" r="233" customHeight="1" ht="18.75">
      <c r="A233" s="13">
        <v>41183</v>
      </c>
      <c r="B233" s="14">
        <v>55403</v>
      </c>
      <c r="C233" s="15">
        <v>93.885</v>
      </c>
      <c r="D233" s="16">
        <v>0.09</v>
      </c>
      <c r="E233" s="16">
        <v>1.71</v>
      </c>
      <c r="F233" s="16">
        <f>VLOOKUP($A233,[1]Data!$A$2:$L$873,3)</f>
      </c>
      <c r="G233" s="16">
        <f>VLOOKUP($A233,[1]Data!$A$2:$L$873,4)</f>
      </c>
      <c r="H233" s="16">
        <f>VLOOKUP($A233,[1]Data!$A$2:$L$873,5)</f>
      </c>
      <c r="I233" s="16">
        <f>VLOOKUP($A233,[1]Data!$A$2:$L$873,6)</f>
      </c>
      <c r="J233" s="16">
        <f>VLOOKUP($A233,[1]Data!$A$2:$L$873,7)</f>
      </c>
      <c r="K233" s="17">
        <v>97.19964</v>
      </c>
      <c r="L233" s="18">
        <v>4105104.8</v>
      </c>
    </row>
    <row x14ac:dyDescent="0.25" r="234" customHeight="1" ht="18.75">
      <c r="A234" s="13">
        <v>41275</v>
      </c>
      <c r="B234" s="14">
        <v>55859</v>
      </c>
      <c r="C234" s="15">
        <v>94.258</v>
      </c>
      <c r="D234" s="16">
        <v>0.09</v>
      </c>
      <c r="E234" s="16">
        <v>1.95</v>
      </c>
      <c r="F234" s="16">
        <f>VLOOKUP($A234,[1]Data!$A$2:$L$873,3)</f>
      </c>
      <c r="G234" s="16">
        <f>VLOOKUP($A234,[1]Data!$A$2:$L$873,4)</f>
      </c>
      <c r="H234" s="16">
        <f>VLOOKUP($A234,[1]Data!$A$2:$L$873,5)</f>
      </c>
      <c r="I234" s="16">
        <f>VLOOKUP($A234,[1]Data!$A$2:$L$873,6)</f>
      </c>
      <c r="J234" s="16">
        <f>VLOOKUP($A234,[1]Data!$A$2:$L$873,7)</f>
      </c>
      <c r="K234" s="17">
        <v>97.77344</v>
      </c>
      <c r="L234" s="18">
        <v>4162047.3</v>
      </c>
    </row>
    <row x14ac:dyDescent="0.25" r="235" customHeight="1" ht="18.75">
      <c r="A235" s="13">
        <v>41365</v>
      </c>
      <c r="B235" s="14">
        <v>55914</v>
      </c>
      <c r="C235" s="15">
        <v>94.461</v>
      </c>
      <c r="D235" s="16">
        <v>0.05</v>
      </c>
      <c r="E235" s="16">
        <v>2</v>
      </c>
      <c r="F235" s="16">
        <f>VLOOKUP($A235,[1]Data!$A$2:$L$873,3)</f>
      </c>
      <c r="G235" s="16">
        <f>VLOOKUP($A235,[1]Data!$A$2:$L$873,4)</f>
      </c>
      <c r="H235" s="16">
        <f>VLOOKUP($A235,[1]Data!$A$2:$L$873,5)</f>
      </c>
      <c r="I235" s="16">
        <f>VLOOKUP($A235,[1]Data!$A$2:$L$873,6)</f>
      </c>
      <c r="J235" s="16">
        <f>VLOOKUP($A235,[1]Data!$A$2:$L$873,7)</f>
      </c>
      <c r="K235" s="17">
        <v>98.30238</v>
      </c>
      <c r="L235" s="18">
        <v>4182171.8</v>
      </c>
    </row>
    <row x14ac:dyDescent="0.25" r="236" customHeight="1" ht="18.75">
      <c r="A236" s="13">
        <v>41456</v>
      </c>
      <c r="B236" s="14">
        <v>56272</v>
      </c>
      <c r="C236" s="15">
        <v>94.924</v>
      </c>
      <c r="D236" s="16">
        <v>0.03</v>
      </c>
      <c r="E236" s="16">
        <v>2.71</v>
      </c>
      <c r="F236" s="16">
        <f>VLOOKUP($A236,[1]Data!$A$2:$L$873,3)</f>
      </c>
      <c r="G236" s="16">
        <f>VLOOKUP($A236,[1]Data!$A$2:$L$873,4)</f>
      </c>
      <c r="H236" s="16">
        <f>VLOOKUP($A236,[1]Data!$A$2:$L$873,5)</f>
      </c>
      <c r="I236" s="16">
        <f>VLOOKUP($A236,[1]Data!$A$2:$L$873,6)</f>
      </c>
      <c r="J236" s="16">
        <f>VLOOKUP($A236,[1]Data!$A$2:$L$873,7)</f>
      </c>
      <c r="K236" s="17">
        <v>98.67393</v>
      </c>
      <c r="L236" s="18">
        <v>4238459.5</v>
      </c>
    </row>
    <row x14ac:dyDescent="0.25" r="237" customHeight="1" ht="18.75">
      <c r="A237" s="13">
        <v>41548</v>
      </c>
      <c r="B237" s="14">
        <v>56642</v>
      </c>
      <c r="C237" s="15">
        <v>95.426</v>
      </c>
      <c r="D237" s="16">
        <v>0.06</v>
      </c>
      <c r="E237" s="16">
        <v>2.75</v>
      </c>
      <c r="F237" s="16">
        <f>VLOOKUP($A237,[1]Data!$A$2:$L$873,3)</f>
      </c>
      <c r="G237" s="16">
        <f>VLOOKUP($A237,[1]Data!$A$2:$L$873,4)</f>
      </c>
      <c r="H237" s="16">
        <f>VLOOKUP($A237,[1]Data!$A$2:$L$873,5)</f>
      </c>
      <c r="I237" s="16">
        <f>VLOOKUP($A237,[1]Data!$A$2:$L$873,6)</f>
      </c>
      <c r="J237" s="16">
        <f>VLOOKUP($A237,[1]Data!$A$2:$L$873,7)</f>
      </c>
      <c r="K237" s="17">
        <v>98.39857</v>
      </c>
      <c r="L237" s="18">
        <v>4298004.8</v>
      </c>
    </row>
    <row x14ac:dyDescent="0.25" r="238" customHeight="1" ht="18.75">
      <c r="A238" s="13">
        <v>41640</v>
      </c>
      <c r="B238" s="14">
        <v>56345</v>
      </c>
      <c r="C238" s="15">
        <v>95.788</v>
      </c>
      <c r="D238" s="16">
        <v>0.05</v>
      </c>
      <c r="E238" s="16">
        <v>2.76</v>
      </c>
      <c r="F238" s="16">
        <f>VLOOKUP($A238,[1]Data!$A$2:$L$873,3)</f>
      </c>
      <c r="G238" s="16">
        <f>VLOOKUP($A238,[1]Data!$A$2:$L$873,4)</f>
      </c>
      <c r="H238" s="16">
        <f>VLOOKUP($A238,[1]Data!$A$2:$L$873,5)</f>
      </c>
      <c r="I238" s="16">
        <f>VLOOKUP($A238,[1]Data!$A$2:$L$873,6)</f>
      </c>
      <c r="J238" s="16">
        <f>VLOOKUP($A238,[1]Data!$A$2:$L$873,7)</f>
      </c>
      <c r="K238" s="17">
        <v>99.1476</v>
      </c>
      <c r="L238" s="18">
        <v>4299434.5</v>
      </c>
    </row>
    <row x14ac:dyDescent="0.25" r="239" customHeight="1" ht="18.75">
      <c r="A239" s="13">
        <v>41730</v>
      </c>
      <c r="B239" s="14">
        <v>56968</v>
      </c>
      <c r="C239" s="15">
        <v>96.33</v>
      </c>
      <c r="D239" s="16">
        <v>0.03</v>
      </c>
      <c r="E239" s="16">
        <v>2.62</v>
      </c>
      <c r="F239" s="16">
        <f>VLOOKUP($A239,[1]Data!$A$2:$L$873,3)</f>
      </c>
      <c r="G239" s="16">
        <f>VLOOKUP($A239,[1]Data!$A$2:$L$873,4)</f>
      </c>
      <c r="H239" s="16">
        <f>VLOOKUP($A239,[1]Data!$A$2:$L$873,5)</f>
      </c>
      <c r="I239" s="16">
        <f>VLOOKUP($A239,[1]Data!$A$2:$L$873,6)</f>
      </c>
      <c r="J239" s="16">
        <f>VLOOKUP($A239,[1]Data!$A$2:$L$873,7)</f>
      </c>
      <c r="K239" s="17">
        <v>100.3184</v>
      </c>
      <c r="L239" s="18">
        <v>4379627</v>
      </c>
    </row>
    <row x14ac:dyDescent="0.25" r="240" customHeight="1" ht="18.75">
      <c r="A240" s="13">
        <v>41821</v>
      </c>
      <c r="B240" s="14">
        <v>57536</v>
      </c>
      <c r="C240" s="15">
        <v>96.726</v>
      </c>
      <c r="D240" s="16">
        <v>0.03</v>
      </c>
      <c r="E240" s="16">
        <v>2.5</v>
      </c>
      <c r="F240" s="16">
        <f>VLOOKUP($A240,[1]Data!$A$2:$L$873,3)</f>
      </c>
      <c r="G240" s="16">
        <f>VLOOKUP($A240,[1]Data!$A$2:$L$873,4)</f>
      </c>
      <c r="H240" s="16">
        <f>VLOOKUP($A240,[1]Data!$A$2:$L$873,5)</f>
      </c>
      <c r="I240" s="16">
        <f>VLOOKUP($A240,[1]Data!$A$2:$L$873,6)</f>
      </c>
      <c r="J240" s="16">
        <f>VLOOKUP($A240,[1]Data!$A$2:$L$873,7)</f>
      </c>
      <c r="K240" s="17">
        <v>100.4334</v>
      </c>
      <c r="L240" s="18">
        <v>4451057</v>
      </c>
    </row>
    <row x14ac:dyDescent="0.25" r="241" customHeight="1" ht="18.75">
      <c r="A241" s="13">
        <v>41913</v>
      </c>
      <c r="B241" s="14">
        <v>57702</v>
      </c>
      <c r="C241" s="15">
        <v>96.822</v>
      </c>
      <c r="D241" s="16">
        <v>0.02</v>
      </c>
      <c r="E241" s="16">
        <v>2.28</v>
      </c>
      <c r="F241" s="16">
        <f>VLOOKUP($A241,[1]Data!$A$2:$L$873,3)</f>
      </c>
      <c r="G241" s="16">
        <f>VLOOKUP($A241,[1]Data!$A$2:$L$873,4)</f>
      </c>
      <c r="H241" s="16">
        <f>VLOOKUP($A241,[1]Data!$A$2:$L$873,5)</f>
      </c>
      <c r="I241" s="16">
        <f>VLOOKUP($A241,[1]Data!$A$2:$L$873,6)</f>
      </c>
      <c r="J241" s="16">
        <f>VLOOKUP($A241,[1]Data!$A$2:$L$873,7)</f>
      </c>
      <c r="K241" s="17">
        <v>99.62661</v>
      </c>
      <c r="L241" s="18">
        <v>4478019.8</v>
      </c>
    </row>
    <row x14ac:dyDescent="0.25" r="242" customHeight="1" ht="18.75">
      <c r="A242" s="13">
        <v>42005</v>
      </c>
      <c r="B242" s="14">
        <v>58121</v>
      </c>
      <c r="C242" s="15">
        <v>96.769</v>
      </c>
      <c r="D242" s="16">
        <v>0.03</v>
      </c>
      <c r="E242" s="16">
        <v>1.97</v>
      </c>
      <c r="F242" s="16">
        <f>VLOOKUP($A242,[1]Data!$A$2:$L$873,3)</f>
      </c>
      <c r="G242" s="16">
        <f>VLOOKUP($A242,[1]Data!$A$2:$L$873,4)</f>
      </c>
      <c r="H242" s="16">
        <f>VLOOKUP($A242,[1]Data!$A$2:$L$873,5)</f>
      </c>
      <c r="I242" s="16">
        <f>VLOOKUP($A242,[1]Data!$A$2:$L$873,6)</f>
      </c>
      <c r="J242" s="16">
        <f>VLOOKUP($A242,[1]Data!$A$2:$L$873,7)</f>
      </c>
      <c r="K242" s="17">
        <v>99.08544</v>
      </c>
      <c r="L242" s="18">
        <v>4515882.3</v>
      </c>
    </row>
    <row x14ac:dyDescent="0.25" r="243" customHeight="1" ht="18.75">
      <c r="A243" s="13">
        <v>42095</v>
      </c>
      <c r="B243" s="14">
        <v>58376</v>
      </c>
      <c r="C243" s="15">
        <v>97.325</v>
      </c>
      <c r="D243" s="16">
        <v>0.02</v>
      </c>
      <c r="E243" s="16">
        <v>2.17</v>
      </c>
      <c r="F243" s="16">
        <f>VLOOKUP($A243,[1]Data!$A$2:$L$873,3)</f>
      </c>
      <c r="G243" s="16">
        <f>VLOOKUP($A243,[1]Data!$A$2:$L$873,4)</f>
      </c>
      <c r="H243" s="16">
        <f>VLOOKUP($A243,[1]Data!$A$2:$L$873,5)</f>
      </c>
      <c r="I243" s="16">
        <f>VLOOKUP($A243,[1]Data!$A$2:$L$873,6)</f>
      </c>
      <c r="J243" s="16">
        <f>VLOOKUP($A243,[1]Data!$A$2:$L$873,7)</f>
      </c>
      <c r="K243" s="17">
        <v>100.28</v>
      </c>
      <c r="L243" s="18">
        <v>4569946</v>
      </c>
    </row>
    <row x14ac:dyDescent="0.25" r="244" customHeight="1" ht="18.75">
      <c r="A244" s="13">
        <v>42186</v>
      </c>
      <c r="B244" s="14">
        <v>58486</v>
      </c>
      <c r="C244" s="15">
        <v>97.583</v>
      </c>
      <c r="D244" s="16">
        <v>0.04</v>
      </c>
      <c r="E244" s="16">
        <v>2.22</v>
      </c>
      <c r="F244" s="16">
        <f>VLOOKUP($A244,[1]Data!$A$2:$L$873,3)</f>
      </c>
      <c r="G244" s="16">
        <f>VLOOKUP($A244,[1]Data!$A$2:$L$873,4)</f>
      </c>
      <c r="H244" s="16">
        <f>VLOOKUP($A244,[1]Data!$A$2:$L$873,5)</f>
      </c>
      <c r="I244" s="16">
        <f>VLOOKUP($A244,[1]Data!$A$2:$L$873,6)</f>
      </c>
      <c r="J244" s="16">
        <f>VLOOKUP($A244,[1]Data!$A$2:$L$873,7)</f>
      </c>
      <c r="K244" s="17">
        <v>100.5434</v>
      </c>
      <c r="L244" s="18">
        <v>4600406.5</v>
      </c>
    </row>
    <row x14ac:dyDescent="0.25" r="245" customHeight="1" ht="18.75">
      <c r="A245" s="13">
        <v>42278</v>
      </c>
      <c r="B245" s="14">
        <v>58470</v>
      </c>
      <c r="C245" s="15">
        <v>97.581</v>
      </c>
      <c r="D245" s="16">
        <v>0.12</v>
      </c>
      <c r="E245" s="16">
        <v>2.19</v>
      </c>
      <c r="F245" s="16">
        <f>VLOOKUP($A245,[1]Data!$A$2:$L$873,3)</f>
      </c>
      <c r="G245" s="16">
        <f>VLOOKUP($A245,[1]Data!$A$2:$L$873,4)</f>
      </c>
      <c r="H245" s="16">
        <f>VLOOKUP($A245,[1]Data!$A$2:$L$873,5)</f>
      </c>
      <c r="I245" s="16">
        <f>VLOOKUP($A245,[1]Data!$A$2:$L$873,6)</f>
      </c>
      <c r="J245" s="16">
        <f>VLOOKUP($A245,[1]Data!$A$2:$L$873,7)</f>
      </c>
      <c r="K245" s="17">
        <v>100.0911</v>
      </c>
      <c r="L245" s="18">
        <v>4608784.3</v>
      </c>
    </row>
    <row x14ac:dyDescent="0.25" r="246" customHeight="1" ht="18.75">
      <c r="A246" s="13">
        <v>42370</v>
      </c>
      <c r="B246" s="14">
        <v>58704</v>
      </c>
      <c r="C246" s="15">
        <v>97.496</v>
      </c>
      <c r="D246" s="16">
        <v>0.29</v>
      </c>
      <c r="E246" s="16">
        <v>1.92</v>
      </c>
      <c r="F246" s="16">
        <f>VLOOKUP($A246,[1]Data!$A$2:$L$873,3)</f>
      </c>
      <c r="G246" s="16">
        <f>VLOOKUP($A246,[1]Data!$A$2:$L$873,4)</f>
      </c>
      <c r="H246" s="16">
        <f>VLOOKUP($A246,[1]Data!$A$2:$L$873,5)</f>
      </c>
      <c r="I246" s="16">
        <f>VLOOKUP($A246,[1]Data!$A$2:$L$873,6)</f>
      </c>
      <c r="J246" s="16">
        <f>VLOOKUP($A246,[1]Data!$A$2:$L$873,7)</f>
      </c>
      <c r="K246" s="17">
        <v>100.1558</v>
      </c>
      <c r="L246" s="18">
        <v>4631483.3</v>
      </c>
    </row>
    <row x14ac:dyDescent="0.25" r="247" customHeight="1" ht="18.75">
      <c r="A247" s="13">
        <v>42461</v>
      </c>
      <c r="B247" s="14">
        <v>58787</v>
      </c>
      <c r="C247" s="15">
        <v>98.159</v>
      </c>
      <c r="D247" s="16">
        <v>0.26</v>
      </c>
      <c r="E247" s="16">
        <v>1.75</v>
      </c>
      <c r="F247" s="16">
        <f>VLOOKUP($A247,[1]Data!$A$2:$L$873,3)</f>
      </c>
      <c r="G247" s="16">
        <f>VLOOKUP($A247,[1]Data!$A$2:$L$873,4)</f>
      </c>
      <c r="H247" s="16">
        <f>VLOOKUP($A247,[1]Data!$A$2:$L$873,5)</f>
      </c>
      <c r="I247" s="16">
        <f>VLOOKUP($A247,[1]Data!$A$2:$L$873,6)</f>
      </c>
      <c r="J247" s="16">
        <f>VLOOKUP($A247,[1]Data!$A$2:$L$873,7)</f>
      </c>
      <c r="K247" s="17">
        <v>101.33</v>
      </c>
      <c r="L247" s="18">
        <v>4677925.5</v>
      </c>
    </row>
    <row x14ac:dyDescent="0.25" r="248" customHeight="1" ht="18.75">
      <c r="A248" s="13">
        <v>42552</v>
      </c>
      <c r="B248" s="14">
        <v>59084</v>
      </c>
      <c r="C248" s="15">
        <v>98.41</v>
      </c>
      <c r="D248" s="16">
        <v>0.3</v>
      </c>
      <c r="E248" s="16">
        <v>1.56</v>
      </c>
      <c r="F248" s="16">
        <f>VLOOKUP($A248,[1]Data!$A$2:$L$873,3)</f>
      </c>
      <c r="G248" s="16">
        <f>VLOOKUP($A248,[1]Data!$A$2:$L$873,4)</f>
      </c>
      <c r="H248" s="16">
        <f>VLOOKUP($A248,[1]Data!$A$2:$L$873,5)</f>
      </c>
      <c r="I248" s="16">
        <f>VLOOKUP($A248,[1]Data!$A$2:$L$873,6)</f>
      </c>
      <c r="J248" s="16">
        <f>VLOOKUP($A248,[1]Data!$A$2:$L$873,7)</f>
      </c>
      <c r="K248" s="17">
        <v>101.6671</v>
      </c>
      <c r="L248" s="18">
        <v>4723159.8</v>
      </c>
    </row>
    <row x14ac:dyDescent="0.25" r="249" customHeight="1" ht="18.75">
      <c r="A249" s="13">
        <v>42644</v>
      </c>
      <c r="B249" s="14">
        <v>59296</v>
      </c>
      <c r="C249" s="15">
        <v>98.886</v>
      </c>
      <c r="D249" s="16">
        <v>0.43</v>
      </c>
      <c r="E249" s="16">
        <v>2.13</v>
      </c>
      <c r="F249" s="16">
        <f>VLOOKUP($A249,[1]Data!$A$2:$L$873,3)</f>
      </c>
      <c r="G249" s="16">
        <f>VLOOKUP($A249,[1]Data!$A$2:$L$873,4)</f>
      </c>
      <c r="H249" s="16">
        <f>VLOOKUP($A249,[1]Data!$A$2:$L$873,5)</f>
      </c>
      <c r="I249" s="16">
        <f>VLOOKUP($A249,[1]Data!$A$2:$L$873,6)</f>
      </c>
      <c r="J249" s="16">
        <f>VLOOKUP($A249,[1]Data!$A$2:$L$873,7)</f>
      </c>
      <c r="K249" s="17">
        <v>101.8934</v>
      </c>
      <c r="L249" s="18">
        <v>4772344.8</v>
      </c>
    </row>
    <row x14ac:dyDescent="0.25" r="250" customHeight="1" ht="18.75">
      <c r="A250" s="13">
        <v>42736</v>
      </c>
      <c r="B250" s="14">
        <v>59494</v>
      </c>
      <c r="C250" s="15">
        <v>99.39</v>
      </c>
      <c r="D250" s="16">
        <v>0.59</v>
      </c>
      <c r="E250" s="16">
        <v>2.44</v>
      </c>
      <c r="F250" s="16">
        <f>VLOOKUP($A250,[1]Data!$A$2:$L$873,3)</f>
      </c>
      <c r="G250" s="16">
        <f>VLOOKUP($A250,[1]Data!$A$2:$L$873,4)</f>
      </c>
      <c r="H250" s="16">
        <f>VLOOKUP($A250,[1]Data!$A$2:$L$873,5)</f>
      </c>
      <c r="I250" s="16">
        <f>VLOOKUP($A250,[1]Data!$A$2:$L$873,6)</f>
      </c>
      <c r="J250" s="16">
        <f>VLOOKUP($A250,[1]Data!$A$2:$L$873,7)</f>
      </c>
      <c r="K250" s="17">
        <v>102.6991</v>
      </c>
      <c r="L250" s="18">
        <v>4820021</v>
      </c>
    </row>
    <row x14ac:dyDescent="0.25" r="251" customHeight="1" ht="18.75">
      <c r="A251" s="13">
        <v>42826</v>
      </c>
      <c r="B251" s="14">
        <v>59736</v>
      </c>
      <c r="C251" s="15">
        <v>99.65</v>
      </c>
      <c r="D251" s="16">
        <v>0.89</v>
      </c>
      <c r="E251" s="16">
        <v>2.26</v>
      </c>
      <c r="F251" s="16">
        <f>VLOOKUP($A251,[1]Data!$A$2:$L$873,3)</f>
      </c>
      <c r="G251" s="16">
        <f>VLOOKUP($A251,[1]Data!$A$2:$L$873,4)</f>
      </c>
      <c r="H251" s="16">
        <f>VLOOKUP($A251,[1]Data!$A$2:$L$873,5)</f>
      </c>
      <c r="I251" s="16">
        <f>VLOOKUP($A251,[1]Data!$A$2:$L$873,6)</f>
      </c>
      <c r="J251" s="16">
        <f>VLOOKUP($A251,[1]Data!$A$2:$L$873,7)</f>
      </c>
      <c r="K251" s="17">
        <v>103.2573</v>
      </c>
      <c r="L251" s="18">
        <v>4859660.8</v>
      </c>
    </row>
    <row x14ac:dyDescent="0.25" r="252" customHeight="1" ht="18.75">
      <c r="A252" s="13">
        <v>42917</v>
      </c>
      <c r="B252" s="14">
        <v>60099</v>
      </c>
      <c r="C252" s="15">
        <v>100.162</v>
      </c>
      <c r="D252" s="16">
        <v>1.04</v>
      </c>
      <c r="E252" s="16">
        <v>2.24</v>
      </c>
      <c r="F252" s="16">
        <f>VLOOKUP($A252,[1]Data!$A$2:$L$873,3)</f>
      </c>
      <c r="G252" s="16">
        <f>VLOOKUP($A252,[1]Data!$A$2:$L$873,4)</f>
      </c>
      <c r="H252" s="16">
        <f>VLOOKUP($A252,[1]Data!$A$2:$L$873,5)</f>
      </c>
      <c r="I252" s="16">
        <f>VLOOKUP($A252,[1]Data!$A$2:$L$873,6)</f>
      </c>
      <c r="J252" s="16">
        <f>VLOOKUP($A252,[1]Data!$A$2:$L$873,7)</f>
      </c>
      <c r="K252" s="17">
        <v>103.6668</v>
      </c>
      <c r="L252" s="18">
        <v>4923148.8</v>
      </c>
    </row>
    <row x14ac:dyDescent="0.25" r="253" customHeight="1" ht="18.75">
      <c r="A253" s="13">
        <v>43009</v>
      </c>
      <c r="B253" s="14">
        <v>60674</v>
      </c>
      <c r="C253" s="15">
        <v>100.778</v>
      </c>
      <c r="D253" s="16">
        <v>1.21</v>
      </c>
      <c r="E253" s="16">
        <v>2.37</v>
      </c>
      <c r="F253" s="16">
        <f>VLOOKUP($A253,[1]Data!$A$2:$L$873,3)</f>
      </c>
      <c r="G253" s="16">
        <f>VLOOKUP($A253,[1]Data!$A$2:$L$873,4)</f>
      </c>
      <c r="H253" s="16">
        <f>VLOOKUP($A253,[1]Data!$A$2:$L$873,5)</f>
      </c>
      <c r="I253" s="16">
        <f>VLOOKUP($A253,[1]Data!$A$2:$L$873,6)</f>
      </c>
      <c r="J253" s="16">
        <f>VLOOKUP($A253,[1]Data!$A$2:$L$873,7)</f>
      </c>
      <c r="K253" s="17">
        <v>104.051</v>
      </c>
      <c r="L253" s="18">
        <v>5009272</v>
      </c>
    </row>
    <row x14ac:dyDescent="0.25" r="254" customHeight="1" ht="18.75">
      <c r="A254" s="13">
        <v>43101</v>
      </c>
      <c r="B254" s="14">
        <v>61093</v>
      </c>
      <c r="C254" s="15">
        <v>101.419</v>
      </c>
      <c r="D254" s="16">
        <v>1.56</v>
      </c>
      <c r="E254" s="16">
        <v>2.76</v>
      </c>
      <c r="F254" s="16">
        <f>VLOOKUP($A254,[1]Data!$A$2:$L$873,3)</f>
      </c>
      <c r="G254" s="16">
        <f>VLOOKUP($A254,[1]Data!$A$2:$L$873,4)</f>
      </c>
      <c r="H254" s="16">
        <f>VLOOKUP($A254,[1]Data!$A$2:$L$873,5)</f>
      </c>
      <c r="I254" s="16">
        <f>VLOOKUP($A254,[1]Data!$A$2:$L$873,6)</f>
      </c>
      <c r="J254" s="16">
        <f>VLOOKUP($A254,[1]Data!$A$2:$L$873,7)</f>
      </c>
      <c r="K254" s="17">
        <v>104.9731</v>
      </c>
      <c r="L254" s="18">
        <v>5082138.3</v>
      </c>
    </row>
    <row x14ac:dyDescent="0.25" r="255" customHeight="1" ht="18.75">
      <c r="A255" s="13">
        <v>43191</v>
      </c>
      <c r="B255" s="14">
        <v>61336</v>
      </c>
      <c r="C255" s="15">
        <v>102.136</v>
      </c>
      <c r="D255" s="16">
        <v>1.84</v>
      </c>
      <c r="E255" s="16">
        <v>2.92</v>
      </c>
      <c r="F255" s="16">
        <f>VLOOKUP($A255,[1]Data!$A$2:$L$873,3)</f>
      </c>
      <c r="G255" s="16">
        <f>VLOOKUP($A255,[1]Data!$A$2:$L$873,4)</f>
      </c>
      <c r="H255" s="16">
        <f>VLOOKUP($A255,[1]Data!$A$2:$L$873,5)</f>
      </c>
      <c r="I255" s="16">
        <f>VLOOKUP($A255,[1]Data!$A$2:$L$873,6)</f>
      </c>
      <c r="J255" s="16">
        <f>VLOOKUP($A255,[1]Data!$A$2:$L$873,7)</f>
      </c>
      <c r="K255" s="17">
        <v>106.0575</v>
      </c>
      <c r="L255" s="18">
        <v>5145228</v>
      </c>
    </row>
    <row x14ac:dyDescent="0.25" r="256" customHeight="1" ht="18.75">
      <c r="A256" s="13">
        <v>43282</v>
      </c>
      <c r="B256" s="14">
        <v>61622</v>
      </c>
      <c r="C256" s="15">
        <v>102.577</v>
      </c>
      <c r="D256" s="16">
        <v>2.04</v>
      </c>
      <c r="E256" s="16">
        <v>2.93</v>
      </c>
      <c r="F256" s="16">
        <f>VLOOKUP($A256,[1]Data!$A$2:$L$873,3)</f>
      </c>
      <c r="G256" s="16">
        <f>VLOOKUP($A256,[1]Data!$A$2:$L$873,4)</f>
      </c>
      <c r="H256" s="16">
        <f>VLOOKUP($A256,[1]Data!$A$2:$L$873,5)</f>
      </c>
      <c r="I256" s="16">
        <f>VLOOKUP($A256,[1]Data!$A$2:$L$873,6)</f>
      </c>
      <c r="J256" s="16">
        <f>VLOOKUP($A256,[1]Data!$A$2:$L$873,7)</f>
      </c>
      <c r="K256" s="17">
        <v>106.4046</v>
      </c>
      <c r="L256" s="18">
        <v>5199682.5</v>
      </c>
    </row>
    <row x14ac:dyDescent="0.25" r="257" customHeight="1" ht="18.75">
      <c r="A257" s="13">
        <v>43374</v>
      </c>
      <c r="B257" s="14">
        <v>61619</v>
      </c>
      <c r="C257" s="15">
        <v>103.019</v>
      </c>
      <c r="D257" s="16">
        <v>2.32</v>
      </c>
      <c r="E257" s="16">
        <v>3.03</v>
      </c>
      <c r="F257" s="16">
        <f>VLOOKUP($A257,[1]Data!$A$2:$L$873,3)</f>
      </c>
      <c r="G257" s="16">
        <f>VLOOKUP($A257,[1]Data!$A$2:$L$873,4)</f>
      </c>
      <c r="H257" s="16">
        <f>VLOOKUP($A257,[1]Data!$A$2:$L$873,5)</f>
      </c>
      <c r="I257" s="16">
        <f>VLOOKUP($A257,[1]Data!$A$2:$L$873,6)</f>
      </c>
      <c r="J257" s="16">
        <f>VLOOKUP($A257,[1]Data!$A$2:$L$873,7)</f>
      </c>
      <c r="K257" s="17">
        <v>106.3434</v>
      </c>
      <c r="L257" s="18">
        <v>5229466.8</v>
      </c>
    </row>
    <row x14ac:dyDescent="0.25" r="258" customHeight="1" ht="18.75">
      <c r="A258" s="13">
        <v>43466</v>
      </c>
      <c r="B258" s="14">
        <v>61939</v>
      </c>
      <c r="C258" s="15">
        <v>103.328</v>
      </c>
      <c r="D258" s="16">
        <v>2.39</v>
      </c>
      <c r="E258" s="16">
        <v>2.65</v>
      </c>
      <c r="F258" s="16">
        <f>VLOOKUP($A258,[1]Data!$A$2:$L$873,3)</f>
      </c>
      <c r="G258" s="16">
        <f>VLOOKUP($A258,[1]Data!$A$2:$L$873,4)</f>
      </c>
      <c r="H258" s="16">
        <f>VLOOKUP($A258,[1]Data!$A$2:$L$873,5)</f>
      </c>
      <c r="I258" s="16">
        <f>VLOOKUP($A258,[1]Data!$A$2:$L$873,6)</f>
      </c>
      <c r="J258" s="16">
        <f>VLOOKUP($A258,[1]Data!$A$2:$L$873,7)</f>
      </c>
      <c r="K258" s="17">
        <v>106.6998</v>
      </c>
      <c r="L258" s="18">
        <v>5277900</v>
      </c>
    </row>
    <row x14ac:dyDescent="0.25" r="259" customHeight="1" ht="18.75">
      <c r="A259" s="13">
        <v>43556</v>
      </c>
      <c r="B259" s="14">
        <v>62385</v>
      </c>
      <c r="C259" s="15">
        <v>103.862</v>
      </c>
      <c r="D259" s="16">
        <v>2.3</v>
      </c>
      <c r="E259" s="16">
        <v>2.33</v>
      </c>
      <c r="F259" s="16">
        <f>VLOOKUP($A259,[1]Data!$A$2:$L$873,3)</f>
      </c>
      <c r="G259" s="16">
        <f>VLOOKUP($A259,[1]Data!$A$2:$L$873,4)</f>
      </c>
      <c r="H259" s="16">
        <f>VLOOKUP($A259,[1]Data!$A$2:$L$873,5)</f>
      </c>
      <c r="I259" s="16">
        <f>VLOOKUP($A259,[1]Data!$A$2:$L$873,6)</f>
      </c>
      <c r="J259" s="16">
        <f>VLOOKUP($A259,[1]Data!$A$2:$L$873,7)</f>
      </c>
      <c r="K259" s="17">
        <v>107.9786</v>
      </c>
      <c r="L259" s="18">
        <v>5349484.5</v>
      </c>
    </row>
    <row x14ac:dyDescent="0.25" r="260" customHeight="1" ht="18.75">
      <c r="A260" s="13">
        <v>43647</v>
      </c>
      <c r="B260" s="14">
        <v>63022</v>
      </c>
      <c r="C260" s="15">
        <v>104.192</v>
      </c>
      <c r="D260" s="16">
        <v>1.98</v>
      </c>
      <c r="E260" s="16">
        <v>1.8</v>
      </c>
      <c r="F260" s="16">
        <f>VLOOKUP($A260,[1]Data!$A$2:$L$873,3)</f>
      </c>
      <c r="G260" s="16">
        <f>VLOOKUP($A260,[1]Data!$A$2:$L$873,4)</f>
      </c>
      <c r="H260" s="16">
        <f>VLOOKUP($A260,[1]Data!$A$2:$L$873,5)</f>
      </c>
      <c r="I260" s="16">
        <f>VLOOKUP($A260,[1]Data!$A$2:$L$873,6)</f>
      </c>
      <c r="J260" s="16">
        <f>VLOOKUP($A260,[1]Data!$A$2:$L$873,7)</f>
      </c>
      <c r="K260" s="17">
        <v>108.2747</v>
      </c>
      <c r="L260" s="18">
        <v>5429292.8</v>
      </c>
    </row>
    <row x14ac:dyDescent="0.25" r="261" customHeight="1" ht="18.75">
      <c r="A261" s="13">
        <v>43739</v>
      </c>
      <c r="B261" s="14">
        <v>63360</v>
      </c>
      <c r="C261" s="15">
        <v>104.516</v>
      </c>
      <c r="D261" s="16">
        <v>1.58</v>
      </c>
      <c r="E261" s="16">
        <v>1.79</v>
      </c>
      <c r="F261" s="16">
        <f>VLOOKUP($A261,[1]Data!$A$2:$L$873,3)</f>
      </c>
      <c r="G261" s="16">
        <f>VLOOKUP($A261,[1]Data!$A$2:$L$873,4)</f>
      </c>
      <c r="H261" s="16">
        <f>VLOOKUP($A261,[1]Data!$A$2:$L$873,5)</f>
      </c>
      <c r="I261" s="16">
        <f>VLOOKUP($A261,[1]Data!$A$2:$L$873,6)</f>
      </c>
      <c r="J261" s="16">
        <f>VLOOKUP($A261,[1]Data!$A$2:$L$873,7)</f>
      </c>
      <c r="K261" s="17">
        <v>108.5053</v>
      </c>
      <c r="L261" s="18">
        <v>5483304.3</v>
      </c>
    </row>
    <row x14ac:dyDescent="0.25" r="262" customHeight="1" ht="18.75">
      <c r="A262" s="13">
        <v>43831</v>
      </c>
      <c r="B262" s="14">
        <v>62415</v>
      </c>
      <c r="C262" s="15">
        <v>104.999</v>
      </c>
      <c r="D262" s="16">
        <v>1.11</v>
      </c>
      <c r="E262" s="16">
        <v>1.38</v>
      </c>
      <c r="F262" s="16">
        <f>VLOOKUP($A262,[1]Data!$A$2:$L$873,3)</f>
      </c>
      <c r="G262" s="16">
        <f>VLOOKUP($A262,[1]Data!$A$2:$L$873,4)</f>
      </c>
      <c r="H262" s="16">
        <f>VLOOKUP($A262,[1]Data!$A$2:$L$873,5)</f>
      </c>
      <c r="I262" s="16">
        <f>VLOOKUP($A262,[1]Data!$A$2:$L$873,6)</f>
      </c>
      <c r="J262" s="16">
        <f>VLOOKUP($A262,[1]Data!$A$2:$L$873,7)</f>
      </c>
      <c r="K262" s="17">
        <v>108.9604</v>
      </c>
      <c r="L262" s="18">
        <v>5431914.3</v>
      </c>
    </row>
    <row x14ac:dyDescent="0.25" r="263" customHeight="1" ht="18.75">
      <c r="A263" s="13">
        <v>43922</v>
      </c>
      <c r="B263" s="14">
        <v>57440</v>
      </c>
      <c r="C263" s="15">
        <v>104.612</v>
      </c>
      <c r="D263" s="16">
        <v>0.14</v>
      </c>
      <c r="E263" s="16">
        <v>0.69</v>
      </c>
      <c r="F263" s="16">
        <f>VLOOKUP($A263,[1]Data!$A$2:$L$873,3)</f>
      </c>
      <c r="G263" s="16">
        <f>VLOOKUP($A263,[1]Data!$A$2:$L$873,4)</f>
      </c>
      <c r="H263" s="16">
        <f>VLOOKUP($A263,[1]Data!$A$2:$L$873,5)</f>
      </c>
      <c r="I263" s="16">
        <f>VLOOKUP($A263,[1]Data!$A$2:$L$873,6)</f>
      </c>
      <c r="J263" s="16">
        <f>VLOOKUP($A263,[1]Data!$A$2:$L$873,7)</f>
      </c>
      <c r="K263" s="17">
        <v>108.372</v>
      </c>
      <c r="L263" s="18">
        <v>4983861</v>
      </c>
    </row>
    <row x14ac:dyDescent="0.25" r="264" customHeight="1" ht="18.75">
      <c r="A264" s="13">
        <v>44013</v>
      </c>
      <c r="B264" s="14">
        <v>61906</v>
      </c>
      <c r="C264" s="15">
        <v>105.527</v>
      </c>
      <c r="D264" s="16">
        <v>0.11</v>
      </c>
      <c r="E264" s="16">
        <v>0.65</v>
      </c>
      <c r="F264" s="16">
        <f>VLOOKUP($A264,[1]Data!$A$2:$L$873,3)</f>
      </c>
      <c r="G264" s="16">
        <f>VLOOKUP($A264,[1]Data!$A$2:$L$873,4)</f>
      </c>
      <c r="H264" s="16">
        <f>VLOOKUP($A264,[1]Data!$A$2:$L$873,5)</f>
      </c>
      <c r="I264" s="16">
        <f>VLOOKUP($A264,[1]Data!$A$2:$L$873,6)</f>
      </c>
      <c r="J264" s="16">
        <f>VLOOKUP($A264,[1]Data!$A$2:$L$873,7)</f>
      </c>
      <c r="K264" s="17">
        <v>109.5982</v>
      </c>
      <c r="L264" s="18">
        <v>5421137.8</v>
      </c>
    </row>
    <row x14ac:dyDescent="0.25" r="265" customHeight="1" ht="18.75">
      <c r="A265" s="13">
        <v>44105</v>
      </c>
      <c r="B265" s="14">
        <v>62544</v>
      </c>
      <c r="C265" s="15">
        <v>106.244</v>
      </c>
      <c r="D265" s="16">
        <v>0.09</v>
      </c>
      <c r="E265" s="16">
        <v>0.86</v>
      </c>
      <c r="F265" s="16">
        <f>VLOOKUP($A265,[1]Data!$A$2:$L$873,3)</f>
      </c>
      <c r="G265" s="16">
        <f>VLOOKUP($A265,[1]Data!$A$2:$L$873,4)</f>
      </c>
      <c r="H265" s="16">
        <f>VLOOKUP($A265,[1]Data!$A$2:$L$873,5)</f>
      </c>
      <c r="I265" s="16">
        <f>VLOOKUP($A265,[1]Data!$A$2:$L$873,6)</f>
      </c>
      <c r="J265" s="16">
        <f>VLOOKUP($A265,[1]Data!$A$2:$L$873,7)</f>
      </c>
      <c r="K265" s="17">
        <v>109.8502</v>
      </c>
      <c r="L265" s="18">
        <v>5517191.8</v>
      </c>
    </row>
    <row x14ac:dyDescent="0.25" r="266" customHeight="1" ht="18.75">
      <c r="A266" s="13">
        <v>44197</v>
      </c>
      <c r="B266" s="14">
        <v>63418</v>
      </c>
      <c r="C266" s="15">
        <v>107.59</v>
      </c>
      <c r="D266" s="16">
        <v>0.05</v>
      </c>
      <c r="E266" s="16">
        <v>1.32</v>
      </c>
      <c r="F266" s="16">
        <f>VLOOKUP($A266,[1]Data!$A$2:$L$873,3)</f>
      </c>
      <c r="G266" s="16">
        <f>VLOOKUP($A266,[1]Data!$A$2:$L$873,4)</f>
      </c>
      <c r="H266" s="16">
        <f>VLOOKUP($A266,[1]Data!$A$2:$L$873,5)</f>
      </c>
      <c r="I266" s="16">
        <f>VLOOKUP($A266,[1]Data!$A$2:$L$873,6)</f>
      </c>
      <c r="J266" s="16">
        <f>VLOOKUP($A266,[1]Data!$A$2:$L$873,7)</f>
      </c>
      <c r="K266" s="17">
        <v>111.029</v>
      </c>
      <c r="L266" s="18">
        <v>5664198.3</v>
      </c>
    </row>
    <row x14ac:dyDescent="0.25" r="267" customHeight="1" ht="18.75">
      <c r="A267" s="13">
        <v>44287</v>
      </c>
      <c r="B267" s="14">
        <v>64383</v>
      </c>
      <c r="C267" s="15">
        <v>109.256</v>
      </c>
      <c r="D267" s="16">
        <v>0.03</v>
      </c>
      <c r="E267" s="16">
        <v>1.59</v>
      </c>
      <c r="F267" s="16">
        <f>VLOOKUP($A267,[1]Data!$A$2:$L$873,3)</f>
      </c>
      <c r="G267" s="16">
        <f>VLOOKUP($A267,[1]Data!$A$2:$L$873,4)</f>
      </c>
      <c r="H267" s="16">
        <f>VLOOKUP($A267,[1]Data!$A$2:$L$873,5)</f>
      </c>
      <c r="I267" s="16">
        <f>VLOOKUP($A267,[1]Data!$A$2:$L$873,6)</f>
      </c>
      <c r="J267" s="16">
        <f>VLOOKUP($A267,[1]Data!$A$2:$L$873,7)</f>
      </c>
      <c r="K267" s="17">
        <v>113.6269</v>
      </c>
      <c r="L267" s="18">
        <v>5842215.3</v>
      </c>
    </row>
    <row x14ac:dyDescent="0.25" r="268" customHeight="1" ht="18.75">
      <c r="A268" s="13">
        <v>44378</v>
      </c>
      <c r="B268" s="14">
        <v>64850</v>
      </c>
      <c r="C268" s="15">
        <v>110.897</v>
      </c>
      <c r="D268" s="16">
        <v>0.05</v>
      </c>
      <c r="E268" s="16">
        <v>1.32</v>
      </c>
      <c r="F268" s="16">
        <f>VLOOKUP($A268,[1]Data!$A$2:$L$873,3)</f>
      </c>
      <c r="G268" s="16">
        <f>VLOOKUP($A268,[1]Data!$A$2:$L$873,4)</f>
      </c>
      <c r="H268" s="16">
        <f>VLOOKUP($A268,[1]Data!$A$2:$L$873,5)</f>
      </c>
      <c r="I268" s="16">
        <f>VLOOKUP($A268,[1]Data!$A$2:$L$873,6)</f>
      </c>
      <c r="J268" s="16">
        <f>VLOOKUP($A268,[1]Data!$A$2:$L$873,7)</f>
      </c>
      <c r="K268" s="17">
        <v>115.446</v>
      </c>
      <c r="L268" s="18">
        <v>5980497.8</v>
      </c>
    </row>
    <row x14ac:dyDescent="0.25" r="269" customHeight="1" ht="18.75">
      <c r="A269" s="13">
        <v>44470</v>
      </c>
      <c r="B269" s="14">
        <v>65925</v>
      </c>
      <c r="C269" s="15">
        <v>112.826</v>
      </c>
      <c r="D269" s="16">
        <v>0.05</v>
      </c>
      <c r="E269" s="16">
        <v>1.54</v>
      </c>
      <c r="F269" s="16">
        <f>VLOOKUP($A269,[1]Data!$A$2:$L$873,3)</f>
      </c>
      <c r="G269" s="16">
        <f>VLOOKUP($A269,[1]Data!$A$2:$L$873,4)</f>
      </c>
      <c r="H269" s="16">
        <f>VLOOKUP($A269,[1]Data!$A$2:$L$873,5)</f>
      </c>
      <c r="I269" s="16">
        <f>VLOOKUP($A269,[1]Data!$A$2:$L$873,6)</f>
      </c>
      <c r="J269" s="16">
        <f>VLOOKUP($A269,[1]Data!$A$2:$L$873,7)</f>
      </c>
      <c r="K269" s="17">
        <v>117.1982</v>
      </c>
      <c r="L269" s="18">
        <v>6194259.5</v>
      </c>
    </row>
    <row x14ac:dyDescent="0.25" r="270" customHeight="1" ht="18.75">
      <c r="A270" s="13">
        <v>44562</v>
      </c>
      <c r="B270" s="14">
        <v>65684</v>
      </c>
      <c r="C270" s="15">
        <v>115.119</v>
      </c>
      <c r="D270" s="16">
        <v>0.31</v>
      </c>
      <c r="E270" s="16">
        <v>1.94</v>
      </c>
      <c r="F270" s="16">
        <f>VLOOKUP($A270,[1]Data!$A$2:$L$873,3)</f>
      </c>
      <c r="G270" s="16">
        <f>VLOOKUP($A270,[1]Data!$A$2:$L$873,4)</f>
      </c>
      <c r="H270" s="16">
        <f>VLOOKUP($A270,[1]Data!$A$2:$L$873,5)</f>
      </c>
      <c r="I270" s="16">
        <f>VLOOKUP($A270,[1]Data!$A$2:$L$873,6)</f>
      </c>
      <c r="J270" s="16">
        <f>VLOOKUP($A270,[1]Data!$A$2:$L$873,7)</f>
      </c>
      <c r="K270" s="17">
        <v>119.8744</v>
      </c>
      <c r="L270" s="18">
        <v>6303872.8</v>
      </c>
    </row>
    <row x14ac:dyDescent="0.25" r="271" customHeight="1" ht="18.75">
      <c r="A271" s="13">
        <v>44652</v>
      </c>
      <c r="B271" s="14">
        <v>65631</v>
      </c>
      <c r="C271" s="15">
        <v>117.731</v>
      </c>
      <c r="D271" s="16">
        <v>1.08</v>
      </c>
      <c r="E271" s="16">
        <v>2.93</v>
      </c>
      <c r="F271" s="16">
        <f>VLOOKUP($A271,[1]Data!$A$2:$L$873,3)</f>
      </c>
      <c r="G271" s="16">
        <f>VLOOKUP($A271,[1]Data!$A$2:$L$873,4)</f>
      </c>
      <c r="H271" s="16">
        <f>VLOOKUP($A271,[1]Data!$A$2:$L$873,5)</f>
      </c>
      <c r="I271" s="16">
        <f>VLOOKUP($A271,[1]Data!$A$2:$L$873,6)</f>
      </c>
      <c r="J271" s="16">
        <f>VLOOKUP($A271,[1]Data!$A$2:$L$873,7)</f>
      </c>
      <c r="K271" s="17">
        <v>123.4392</v>
      </c>
      <c r="L271" s="18">
        <v>6451447.8</v>
      </c>
    </row>
    <row x14ac:dyDescent="0.25" r="272" customHeight="1" ht="18.75">
      <c r="A272" s="13">
        <v>44743</v>
      </c>
      <c r="B272" s="14">
        <v>65939</v>
      </c>
      <c r="C272" s="15">
        <v>119.057</v>
      </c>
      <c r="D272" s="16">
        <v>2.66</v>
      </c>
      <c r="E272" s="16">
        <v>3.11</v>
      </c>
      <c r="F272" s="16">
        <f>VLOOKUP($A272,[1]Data!$A$2:$L$873,3)</f>
      </c>
      <c r="G272" s="16">
        <f>VLOOKUP($A272,[1]Data!$A$2:$L$873,4)</f>
      </c>
      <c r="H272" s="16">
        <f>VLOOKUP($A272,[1]Data!$A$2:$L$873,5)</f>
      </c>
      <c r="I272" s="16">
        <f>VLOOKUP($A272,[1]Data!$A$2:$L$873,6)</f>
      </c>
      <c r="J272" s="16">
        <f>VLOOKUP($A272,[1]Data!$A$2:$L$873,7)</f>
      </c>
      <c r="K272" s="17">
        <v>125.0621</v>
      </c>
      <c r="L272" s="18">
        <v>6568002.8</v>
      </c>
    </row>
    <row x14ac:dyDescent="0.25" r="273" customHeight="1" ht="18.75">
      <c r="A273" s="13">
        <v>44835</v>
      </c>
      <c r="B273" s="14">
        <v>66341</v>
      </c>
      <c r="C273" s="15">
        <v>120.157</v>
      </c>
      <c r="D273" s="16">
        <v>4.04</v>
      </c>
      <c r="E273" s="16">
        <v>3.83</v>
      </c>
      <c r="F273" s="16">
        <f>VLOOKUP($A273,[1]Data!$A$2:$L$873,3)</f>
      </c>
      <c r="G273" s="16">
        <f>VLOOKUP($A273,[1]Data!$A$2:$L$873,4)</f>
      </c>
      <c r="H273" s="16">
        <f>VLOOKUP($A273,[1]Data!$A$2:$L$873,5)</f>
      </c>
      <c r="I273" s="16">
        <f>VLOOKUP($A273,[1]Data!$A$2:$L$873,6)</f>
      </c>
      <c r="J273" s="16">
        <f>VLOOKUP($A273,[1]Data!$A$2:$L$873,7)</f>
      </c>
      <c r="K273" s="17">
        <v>125.5212</v>
      </c>
      <c r="L273" s="18">
        <v>6683569.3</v>
      </c>
    </row>
    <row x14ac:dyDescent="0.25" r="274" customHeight="1" ht="18.75">
      <c r="A274" s="13">
        <v>44927</v>
      </c>
      <c r="B274" s="14">
        <v>66673</v>
      </c>
      <c r="C274" s="15">
        <v>121.251</v>
      </c>
      <c r="D274" s="16">
        <v>4.63</v>
      </c>
      <c r="E274" s="16">
        <v>3.65</v>
      </c>
      <c r="F274" s="16">
        <f>VLOOKUP($A274,[1]Data!$A$2:$L$873,3)</f>
      </c>
      <c r="G274" s="16">
        <f>VLOOKUP($A274,[1]Data!$A$2:$L$873,4)</f>
      </c>
      <c r="H274" s="16">
        <f>VLOOKUP($A274,[1]Data!$A$2:$L$873,5)</f>
      </c>
      <c r="I274" s="16">
        <f>VLOOKUP($A274,[1]Data!$A$2:$L$873,6)</f>
      </c>
      <c r="J274" s="16">
        <f>VLOOKUP($A274,[1]Data!$A$2:$L$873,7)</f>
      </c>
      <c r="K274" s="17">
        <v>126.8328</v>
      </c>
      <c r="L274" s="18">
        <v>6791089.8</v>
      </c>
    </row>
    <row x14ac:dyDescent="0.25" r="275" customHeight="1" ht="18.75">
      <c r="A275" s="13">
        <v>45017</v>
      </c>
      <c r="B275" s="14">
        <v>66945</v>
      </c>
      <c r="C275" s="15">
        <v>121.804</v>
      </c>
      <c r="D275" s="16">
        <v>5.07</v>
      </c>
      <c r="E275" s="16">
        <v>3.59</v>
      </c>
      <c r="F275" s="16">
        <f>VLOOKUP($A275,[1]Data!$A$2:$L$873,3)</f>
      </c>
      <c r="G275" s="16">
        <f>VLOOKUP($A275,[1]Data!$A$2:$L$873,4)</f>
      </c>
      <c r="H275" s="16">
        <f>VLOOKUP($A275,[1]Data!$A$2:$L$873,5)</f>
      </c>
      <c r="I275" s="16">
        <f>VLOOKUP($A275,[1]Data!$A$2:$L$873,6)</f>
      </c>
      <c r="J275" s="16">
        <f>VLOOKUP($A275,[1]Data!$A$2:$L$873,7)</f>
      </c>
      <c r="K275" s="17">
        <v>128.3451</v>
      </c>
      <c r="L275" s="18">
        <v>6863453.8</v>
      </c>
    </row>
    <row x14ac:dyDescent="0.25" r="276" customHeight="1" ht="18.75">
      <c r="A276" s="13">
        <v>45108</v>
      </c>
      <c r="B276" s="14">
        <v>67499</v>
      </c>
      <c r="C276" s="15">
        <v>122.768</v>
      </c>
      <c r="D276" s="16">
        <v>5.29</v>
      </c>
      <c r="E276" s="16">
        <v>4.15</v>
      </c>
      <c r="F276" s="16">
        <f>VLOOKUP($A276,[1]Data!$A$2:$L$873,3)</f>
      </c>
      <c r="G276" s="16">
        <f>VLOOKUP($A276,[1]Data!$A$2:$L$873,4)</f>
      </c>
      <c r="H276" s="16">
        <f>VLOOKUP($A276,[1]Data!$A$2:$L$873,5)</f>
      </c>
      <c r="I276" s="16">
        <f>VLOOKUP($A276,[1]Data!$A$2:$L$873,6)</f>
      </c>
      <c r="J276" s="16">
        <f>VLOOKUP($A276,[1]Data!$A$2:$L$873,7)</f>
      </c>
      <c r="K276" s="17">
        <v>129.4571</v>
      </c>
      <c r="L276" s="18">
        <v>6991924.3</v>
      </c>
    </row>
    <row x14ac:dyDescent="0.25" r="277" customHeight="1" ht="18.75">
      <c r="A277" s="13">
        <v>45200</v>
      </c>
      <c r="B277" s="14">
        <v>67858</v>
      </c>
      <c r="C277" s="15">
        <v>123.241</v>
      </c>
      <c r="D277" s="16">
        <v>5.28</v>
      </c>
      <c r="E277" s="16">
        <v>4.44</v>
      </c>
      <c r="F277" s="16">
        <f>VLOOKUP($A277,[1]Data!$A$2:$L$873,3)</f>
      </c>
      <c r="G277" s="16">
        <f>VLOOKUP($A277,[1]Data!$A$2:$L$873,4)</f>
      </c>
      <c r="H277" s="16">
        <f>VLOOKUP($A277,[1]Data!$A$2:$L$873,5)</f>
      </c>
      <c r="I277" s="16">
        <f>VLOOKUP($A277,[1]Data!$A$2:$L$873,6)</f>
      </c>
      <c r="J277" s="16">
        <f>VLOOKUP($A277,[1]Data!$A$2:$L$873,7)</f>
      </c>
      <c r="K277" s="17">
        <v>129.5924</v>
      </c>
      <c r="L277" s="18">
        <v>7074241.8</v>
      </c>
    </row>
    <row x14ac:dyDescent="0.25" r="278" customHeight="1" ht="18.75">
      <c r="A278" s="13">
        <v>45292</v>
      </c>
      <c r="B278" s="14">
        <v>67981</v>
      </c>
      <c r="C278" s="15">
        <v>124.163</v>
      </c>
      <c r="D278" s="16">
        <v>5.23</v>
      </c>
      <c r="E278" s="16">
        <v>4.16</v>
      </c>
      <c r="F278" s="16">
        <f>VLOOKUP($A278,[1]Data!$A$2:$L$873,3)</f>
      </c>
      <c r="G278" s="16">
        <f>VLOOKUP($A278,[1]Data!$A$2:$L$873,4)</f>
      </c>
      <c r="H278" s="16">
        <f>VLOOKUP($A278,[1]Data!$A$2:$L$873,5)</f>
      </c>
      <c r="I278" s="16">
        <f>VLOOKUP($A278,[1]Data!$A$2:$L$873,6)</f>
      </c>
      <c r="J278" s="16">
        <f>VLOOKUP($A278,[1]Data!$A$2:$L$873,7)</f>
      </c>
      <c r="K278" s="17">
        <v>130.9435</v>
      </c>
      <c r="L278" s="18">
        <v>7156017.3</v>
      </c>
    </row>
    <row x14ac:dyDescent="0.25" r="279" customHeight="1" ht="18.75">
      <c r="A279" s="13">
        <v>45383</v>
      </c>
      <c r="B279" s="14">
        <v>68320</v>
      </c>
      <c r="C279" s="15">
        <v>124.943</v>
      </c>
      <c r="D279" s="16">
        <v>5.24</v>
      </c>
      <c r="E279" s="16">
        <v>4.44</v>
      </c>
      <c r="F279" s="16">
        <f>VLOOKUP($A279,[1]Data!$A$2:$L$873,3)</f>
      </c>
      <c r="G279" s="16">
        <f>VLOOKUP($A279,[1]Data!$A$2:$L$873,4)</f>
      </c>
      <c r="H279" s="16">
        <f>VLOOKUP($A279,[1]Data!$A$2:$L$873,5)</f>
      </c>
      <c r="I279" s="16">
        <f>VLOOKUP($A279,[1]Data!$A$2:$L$873,6)</f>
      </c>
      <c r="J279" s="16">
        <f>VLOOKUP($A279,[1]Data!$A$2:$L$873,7)</f>
      </c>
      <c r="K279" s="17">
        <v>132.4507</v>
      </c>
      <c r="L279" s="18">
        <v>7254178.5</v>
      </c>
    </row>
    <row x14ac:dyDescent="0.25" r="280" customHeight="1" ht="18.75">
      <c r="A280" s="13">
        <v>45474</v>
      </c>
      <c r="B280" s="14">
        <v>68696</v>
      </c>
      <c r="C280" s="15">
        <v>125.532</v>
      </c>
      <c r="D280" s="16">
        <v>4.99</v>
      </c>
      <c r="E280" s="16">
        <v>3.95</v>
      </c>
      <c r="F280" s="16">
        <f>VLOOKUP($A280,[1]Data!$A$2:$L$873,3)</f>
      </c>
      <c r="G280" s="16">
        <f>VLOOKUP($A280,[1]Data!$A$2:$L$873,4)</f>
      </c>
      <c r="H280" s="16">
        <f>VLOOKUP($A280,[1]Data!$A$2:$L$873,5)</f>
      </c>
      <c r="I280" s="16">
        <f>VLOOKUP($A280,[1]Data!$A$2:$L$873,6)</f>
      </c>
      <c r="J280" s="16">
        <f>VLOOKUP($A280,[1]Data!$A$2:$L$873,7)</f>
      </c>
      <c r="K280" s="17">
        <v>132.8508</v>
      </c>
      <c r="L280" s="18">
        <v>7343728.5</v>
      </c>
    </row>
    <row x14ac:dyDescent="0.25" r="281" customHeight="1" ht="18.75">
      <c r="A281" s="13"/>
      <c r="B281" s="19"/>
      <c r="C281" s="20"/>
      <c r="D281" s="21"/>
      <c r="E281" s="16"/>
      <c r="F281" s="21"/>
      <c r="G281" s="21"/>
      <c r="H281" s="21"/>
      <c r="I281" s="21"/>
      <c r="J281" s="21"/>
      <c r="K281" s="17"/>
      <c r="L281" s="18"/>
    </row>
    <row x14ac:dyDescent="0.25" r="282" customHeight="1" ht="18.75">
      <c r="A282" s="13"/>
      <c r="B282" s="19"/>
      <c r="C282" s="20"/>
      <c r="D282" s="21"/>
      <c r="E282" s="16"/>
      <c r="F282" s="21"/>
      <c r="G282" s="21"/>
      <c r="H282" s="21"/>
      <c r="I282" s="21"/>
      <c r="J282" s="21"/>
      <c r="K282" s="17"/>
      <c r="L282" s="18"/>
    </row>
    <row x14ac:dyDescent="0.25" r="283" customHeight="1" ht="18.75">
      <c r="A283" s="13"/>
      <c r="B283" s="19"/>
      <c r="C283" s="20"/>
      <c r="D283" s="21"/>
      <c r="E283" s="16"/>
      <c r="F283" s="21"/>
      <c r="G283" s="21"/>
      <c r="H283" s="21"/>
      <c r="I283" s="21"/>
      <c r="J283" s="21"/>
      <c r="K283" s="22"/>
      <c r="L28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14"/>
  <sheetViews>
    <sheetView workbookViewId="0"/>
  </sheetViews>
  <sheetFormatPr defaultRowHeight="15" x14ac:dyDescent="0.25"/>
  <cols>
    <col min="1" max="1" style="5" width="85.7192857142857" customWidth="1" bestFit="1"/>
    <col min="2" max="2" style="6" width="93.57642857142856" customWidth="1" bestFit="1"/>
    <col min="3" max="3" style="6" width="23.433571428571426" customWidth="1" bestFit="1"/>
  </cols>
  <sheetData>
    <row x14ac:dyDescent="0.25" r="1" customHeight="1" ht="18.75" customFormat="1" s="1">
      <c r="A1" s="2" t="s">
        <v>0</v>
      </c>
      <c r="B1" s="3"/>
      <c r="C1" s="3"/>
    </row>
    <row x14ac:dyDescent="0.25" r="2" customHeight="1" ht="18.75" customFormat="1" s="1">
      <c r="A2" s="2" t="s">
        <v>1</v>
      </c>
      <c r="B2" s="3"/>
      <c r="C2" s="3"/>
    </row>
    <row x14ac:dyDescent="0.25" r="3" customHeight="1" ht="18.75" customFormat="1" s="1">
      <c r="A3" s="2" t="s">
        <v>2</v>
      </c>
      <c r="B3" s="3"/>
      <c r="C3" s="3"/>
    </row>
    <row x14ac:dyDescent="0.25" r="4" customHeight="1" ht="18.75" customFormat="1" s="1">
      <c r="A4" s="2" t="s">
        <v>3</v>
      </c>
      <c r="B4" s="3"/>
      <c r="C4" s="3"/>
    </row>
    <row x14ac:dyDescent="0.25" r="5" customHeight="1" ht="18.75" customFormat="1" s="1">
      <c r="A5" s="2" t="s">
        <v>4</v>
      </c>
      <c r="B5" s="3"/>
      <c r="C5" s="3"/>
    </row>
    <row x14ac:dyDescent="0.25" r="6" customHeight="1" ht="18.75" customFormat="1" s="1">
      <c r="A6" s="2" t="s">
        <v>5</v>
      </c>
      <c r="B6" s="3"/>
      <c r="C6" s="3"/>
    </row>
    <row x14ac:dyDescent="0.25" r="7" customHeight="1" ht="18.75">
      <c r="A7" s="3"/>
      <c r="B7" s="4"/>
      <c r="C7" s="4"/>
    </row>
    <row x14ac:dyDescent="0.25" r="8" customHeight="1" ht="18.75" customFormat="1" s="1">
      <c r="A8" s="2" t="s">
        <v>6</v>
      </c>
      <c r="B8" s="3" t="s">
        <v>7</v>
      </c>
      <c r="C8" s="3" t="s">
        <v>8</v>
      </c>
    </row>
    <row x14ac:dyDescent="0.25" r="9" customHeight="1" ht="18.75">
      <c r="A9" s="3"/>
      <c r="B9" s="4"/>
      <c r="C9" s="4"/>
    </row>
    <row x14ac:dyDescent="0.25" r="10" customHeight="1" ht="18.75" customFormat="1" s="1">
      <c r="A10" s="2" t="s">
        <v>9</v>
      </c>
      <c r="B10" s="3" t="s">
        <v>10</v>
      </c>
      <c r="C10" s="3" t="s">
        <v>8</v>
      </c>
    </row>
    <row x14ac:dyDescent="0.25" r="11" customHeight="1" ht="18.75">
      <c r="A11" s="3"/>
      <c r="B11" s="4"/>
      <c r="C11" s="4"/>
    </row>
    <row x14ac:dyDescent="0.25" r="12" customHeight="1" ht="18.75" customFormat="1" s="1">
      <c r="A12" s="2" t="s">
        <v>11</v>
      </c>
      <c r="B12" s="3" t="s">
        <v>12</v>
      </c>
      <c r="C12" s="3" t="s">
        <v>13</v>
      </c>
    </row>
    <row x14ac:dyDescent="0.25" r="13" customHeight="1" ht="18.75">
      <c r="A13" s="3"/>
      <c r="B13" s="4"/>
      <c r="C13" s="4"/>
    </row>
    <row x14ac:dyDescent="0.25" r="14" customHeight="1" ht="18.75" customFormat="1" s="1">
      <c r="A14" s="2" t="s">
        <v>14</v>
      </c>
      <c r="B14" s="3" t="s">
        <v>15</v>
      </c>
      <c r="C14" s="3" t="s">
        <v>13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Quarterly</vt:lpstr>
      <vt:lpstr>README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2025-12-21T19:42:02.688Z</dcterms:created>
  <dcterms:modified xsi:type="dcterms:W3CDTF">2025-12-21T19:42:02.688Z</dcterms:modified>
</cp:coreProperties>
</file>